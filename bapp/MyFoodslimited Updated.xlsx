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132" yWindow="180" windowWidth="15216" windowHeight="3276" tabRatio="738" activeTab="4"/>
  </bookViews>
  <sheets>
    <sheet name="Meal Items" sheetId="1" r:id="rId1"/>
    <sheet name="Ingredients" sheetId="11" r:id="rId2"/>
    <sheet name="Salads" sheetId="10" r:id="rId3"/>
    <sheet name="Chicken" sheetId="2" r:id="rId4"/>
    <sheet name="Baked" sheetId="3" r:id="rId5"/>
    <sheet name="Beef" sheetId="4" r:id="rId6"/>
    <sheet name="Salsa" sheetId="9" r:id="rId7"/>
  </sheets>
  <definedNames>
    <definedName name="Query2">'Meal Items'!$G$1:$K$7</definedName>
  </definedNames>
  <calcPr calcId="124519"/>
</workbook>
</file>

<file path=xl/calcChain.xml><?xml version="1.0" encoding="utf-8"?>
<calcChain xmlns="http://schemas.openxmlformats.org/spreadsheetml/2006/main">
  <c r="BG6" i="11"/>
  <c r="BG7"/>
  <c r="BG8"/>
  <c r="BG9"/>
  <c r="BG10"/>
  <c r="BG11"/>
  <c r="BG12"/>
  <c r="BG13"/>
  <c r="BG14"/>
  <c r="BG15"/>
  <c r="BG16"/>
  <c r="BG17"/>
  <c r="BG18"/>
  <c r="BG19"/>
  <c r="BG20"/>
  <c r="BG21"/>
  <c r="BG22"/>
  <c r="BG23"/>
  <c r="BG24"/>
  <c r="BG25"/>
  <c r="BG26"/>
  <c r="BG27"/>
  <c r="BG28"/>
  <c r="BG29"/>
  <c r="BG30"/>
  <c r="BG31"/>
  <c r="BG32"/>
  <c r="BG33"/>
  <c r="BG34"/>
  <c r="BG35"/>
  <c r="BG36"/>
  <c r="BG37"/>
  <c r="BG38"/>
  <c r="BG39"/>
  <c r="BG40"/>
  <c r="BG41"/>
  <c r="BG42"/>
  <c r="BG43"/>
  <c r="BG44"/>
  <c r="BG45"/>
  <c r="BG46"/>
  <c r="BG47"/>
  <c r="BG48"/>
  <c r="BG49"/>
  <c r="BG50"/>
  <c r="BG51"/>
  <c r="BG52"/>
  <c r="BG53"/>
  <c r="BG54"/>
  <c r="BG55"/>
  <c r="BG56"/>
  <c r="BG57"/>
  <c r="BG58"/>
  <c r="BG59"/>
  <c r="BG60"/>
  <c r="BG61"/>
  <c r="BG62"/>
  <c r="BG63"/>
  <c r="BG64"/>
  <c r="BG65"/>
  <c r="BG66"/>
  <c r="BG67"/>
  <c r="BG68"/>
  <c r="BG69"/>
  <c r="BG70"/>
  <c r="BG71"/>
  <c r="BG72"/>
  <c r="BG73"/>
  <c r="BG74"/>
  <c r="BG75"/>
  <c r="BG76"/>
  <c r="BG77"/>
  <c r="BG78"/>
  <c r="BG79"/>
  <c r="BG80"/>
  <c r="BG81"/>
  <c r="BG82"/>
  <c r="BG83"/>
  <c r="BG84"/>
  <c r="BG85"/>
  <c r="BG86"/>
  <c r="BG87"/>
  <c r="BG88"/>
  <c r="BG89"/>
  <c r="BG90"/>
  <c r="BG91"/>
  <c r="BG92"/>
  <c r="BG93"/>
  <c r="BG94"/>
  <c r="BG95"/>
  <c r="BG96"/>
  <c r="BG97"/>
  <c r="BG98"/>
  <c r="BG99"/>
  <c r="BG100"/>
  <c r="BG101"/>
  <c r="BG102"/>
  <c r="BG103"/>
  <c r="BG104"/>
  <c r="BG105"/>
  <c r="BG106"/>
  <c r="BG107"/>
  <c r="BG108"/>
  <c r="BG109"/>
  <c r="BG110"/>
  <c r="BG111"/>
  <c r="BG112"/>
  <c r="BG113"/>
  <c r="BG114"/>
  <c r="BG115"/>
  <c r="BG116"/>
  <c r="BG117"/>
  <c r="BG118"/>
  <c r="BG119"/>
  <c r="BG120"/>
  <c r="BG121"/>
  <c r="BG122"/>
  <c r="BG123"/>
  <c r="BG124"/>
  <c r="BG5"/>
  <c r="BG144"/>
  <c r="BG145"/>
  <c r="BG146"/>
  <c r="BG147"/>
  <c r="BG148"/>
  <c r="BG149"/>
  <c r="BG150"/>
  <c r="BG151"/>
  <c r="BG152"/>
  <c r="BG153"/>
  <c r="BG154"/>
  <c r="BG143"/>
  <c r="BH68" i="1"/>
  <c r="BF60"/>
  <c r="BE60"/>
  <c r="BD60"/>
  <c r="BC60"/>
  <c r="BB60"/>
  <c r="BA60"/>
  <c r="AZ60"/>
  <c r="AY60"/>
  <c r="AX60"/>
  <c r="AW60"/>
  <c r="AV60"/>
  <c r="AU60"/>
  <c r="AT60"/>
  <c r="AS60"/>
  <c r="AR60"/>
  <c r="AQ60"/>
  <c r="AP60"/>
  <c r="AO60"/>
  <c r="AN60"/>
  <c r="AM60"/>
  <c r="AL60"/>
  <c r="AK60"/>
  <c r="AJ60"/>
  <c r="AI60"/>
  <c r="AG60"/>
  <c r="AF60"/>
  <c r="AE60"/>
  <c r="AD60"/>
  <c r="AC60"/>
  <c r="AB60"/>
  <c r="AA60"/>
  <c r="Z60"/>
  <c r="Y60"/>
  <c r="X60"/>
  <c r="W60"/>
  <c r="V60"/>
  <c r="U60"/>
  <c r="T60"/>
  <c r="S60"/>
  <c r="R60"/>
  <c r="Q60"/>
  <c r="P60"/>
  <c r="O60"/>
  <c r="N60"/>
  <c r="M60"/>
  <c r="L60"/>
  <c r="K60"/>
  <c r="J60"/>
  <c r="I60"/>
  <c r="H60"/>
  <c r="G60"/>
  <c r="F60"/>
  <c r="G22" i="3"/>
  <c r="H22"/>
  <c r="I22"/>
  <c r="J22"/>
  <c r="K22"/>
  <c r="L22"/>
  <c r="M22"/>
  <c r="N22"/>
  <c r="O22"/>
  <c r="P22"/>
  <c r="Q22"/>
  <c r="R22"/>
  <c r="S22"/>
  <c r="T22"/>
  <c r="U22"/>
  <c r="V22"/>
  <c r="W22"/>
  <c r="X22"/>
  <c r="Y22"/>
  <c r="Z22"/>
  <c r="AA22"/>
  <c r="AB22"/>
  <c r="AC22"/>
  <c r="AD22"/>
  <c r="AE22"/>
  <c r="AF22"/>
  <c r="AG22"/>
  <c r="AH22"/>
  <c r="AI22"/>
  <c r="AJ22"/>
  <c r="AK22"/>
  <c r="AL22"/>
  <c r="AM22"/>
  <c r="AN22"/>
  <c r="AO22"/>
  <c r="AP22"/>
  <c r="AQ22"/>
  <c r="AR22"/>
  <c r="AS22"/>
  <c r="AT22"/>
  <c r="AU22"/>
  <c r="AV22"/>
  <c r="AW22"/>
  <c r="AX22"/>
  <c r="AY22"/>
  <c r="AZ22"/>
  <c r="BA22"/>
  <c r="BB22"/>
  <c r="BC22"/>
  <c r="BD22"/>
  <c r="BE22"/>
  <c r="G21"/>
  <c r="H21"/>
  <c r="I21"/>
  <c r="J21"/>
  <c r="K21"/>
  <c r="L21"/>
  <c r="M21"/>
  <c r="N21"/>
  <c r="O21"/>
  <c r="P21"/>
  <c r="Q21"/>
  <c r="R21"/>
  <c r="S21"/>
  <c r="T2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F22"/>
  <c r="F21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F19"/>
  <c r="BF15"/>
  <c r="BF14"/>
  <c r="BF6" l="1"/>
  <c r="BE155" i="4"/>
  <c r="BD155"/>
  <c r="BC155"/>
  <c r="BB155"/>
  <c r="BA155"/>
  <c r="AZ155"/>
  <c r="AY155"/>
  <c r="AX155"/>
  <c r="AW155"/>
  <c r="AV155"/>
  <c r="AU155"/>
  <c r="AT155"/>
  <c r="AS155"/>
  <c r="AR155"/>
  <c r="AQ155"/>
  <c r="AP155"/>
  <c r="AO155"/>
  <c r="AN155"/>
  <c r="AM155"/>
  <c r="AL155"/>
  <c r="AK155"/>
  <c r="AJ155"/>
  <c r="AI155"/>
  <c r="AH155"/>
  <c r="AG155"/>
  <c r="AF155"/>
  <c r="AE155"/>
  <c r="AD155"/>
  <c r="AC155"/>
  <c r="AB155"/>
  <c r="AA155"/>
  <c r="Z155"/>
  <c r="Y155"/>
  <c r="X155"/>
  <c r="W155"/>
  <c r="V155"/>
  <c r="U155"/>
  <c r="T155"/>
  <c r="S155"/>
  <c r="R155"/>
  <c r="Q155"/>
  <c r="P155"/>
  <c r="O155"/>
  <c r="N155"/>
  <c r="M155"/>
  <c r="L155"/>
  <c r="K155"/>
  <c r="J155"/>
  <c r="I155"/>
  <c r="H155"/>
  <c r="G155"/>
  <c r="F155"/>
  <c r="E155"/>
  <c r="BF154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K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F151"/>
  <c r="E151"/>
  <c r="BF150"/>
  <c r="BE147"/>
  <c r="BD147"/>
  <c r="BC147"/>
  <c r="BB147"/>
  <c r="BA147"/>
  <c r="AZ147"/>
  <c r="AY147"/>
  <c r="AX147"/>
  <c r="AW147"/>
  <c r="AV147"/>
  <c r="AU147"/>
  <c r="AT147"/>
  <c r="AS147"/>
  <c r="AR147"/>
  <c r="AQ147"/>
  <c r="AP147"/>
  <c r="AO147"/>
  <c r="AN147"/>
  <c r="AM147"/>
  <c r="AL147"/>
  <c r="AK147"/>
  <c r="AJ147"/>
  <c r="AI147"/>
  <c r="AH147"/>
  <c r="AG147"/>
  <c r="AF147"/>
  <c r="AE147"/>
  <c r="AD147"/>
  <c r="AC147"/>
  <c r="AB147"/>
  <c r="AA147"/>
  <c r="Z147"/>
  <c r="Y147"/>
  <c r="X147"/>
  <c r="W147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BF146"/>
  <c r="BE139"/>
  <c r="BD139"/>
  <c r="BC139"/>
  <c r="BB139"/>
  <c r="BA139"/>
  <c r="AZ139"/>
  <c r="AY139"/>
  <c r="AX139"/>
  <c r="AW139"/>
  <c r="AV139"/>
  <c r="AU139"/>
  <c r="AT139"/>
  <c r="AS139"/>
  <c r="AR139"/>
  <c r="AQ139"/>
  <c r="AP139"/>
  <c r="AO139"/>
  <c r="AN139"/>
  <c r="AM139"/>
  <c r="AL139"/>
  <c r="AK139"/>
  <c r="AJ139"/>
  <c r="AI139"/>
  <c r="AH139"/>
  <c r="AG139"/>
  <c r="AF139"/>
  <c r="AE139"/>
  <c r="AD139"/>
  <c r="AC139"/>
  <c r="AB139"/>
  <c r="AA139"/>
  <c r="Z139"/>
  <c r="Y139"/>
  <c r="X139"/>
  <c r="W139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BF138"/>
  <c r="BF137"/>
  <c r="BF136"/>
  <c r="BF135"/>
  <c r="BF134"/>
  <c r="BF133"/>
  <c r="BF132"/>
  <c r="BF131"/>
  <c r="BF130"/>
  <c r="BF129"/>
  <c r="BF128"/>
  <c r="BF126"/>
  <c r="BF125"/>
  <c r="BF124"/>
  <c r="BF123"/>
  <c r="BF122"/>
  <c r="BF121"/>
  <c r="BF115"/>
  <c r="BD112"/>
  <c r="AZ112"/>
  <c r="AV112"/>
  <c r="AR112"/>
  <c r="AN112"/>
  <c r="AJ112"/>
  <c r="AF112"/>
  <c r="AB112"/>
  <c r="X112"/>
  <c r="T112"/>
  <c r="P112"/>
  <c r="L112"/>
  <c r="H112"/>
  <c r="BG108"/>
  <c r="BF108"/>
  <c r="BE108"/>
  <c r="BD108"/>
  <c r="BC108"/>
  <c r="BB108"/>
  <c r="BA108"/>
  <c r="AZ108"/>
  <c r="AY108"/>
  <c r="AX108"/>
  <c r="AW108"/>
  <c r="AV108"/>
  <c r="BG104"/>
  <c r="BG112" s="1"/>
  <c r="BF104"/>
  <c r="BF112" s="1"/>
  <c r="BE104"/>
  <c r="BE112" s="1"/>
  <c r="BD104"/>
  <c r="BC104"/>
  <c r="BC112" s="1"/>
  <c r="BB104"/>
  <c r="BB112" s="1"/>
  <c r="BA104"/>
  <c r="BA112" s="1"/>
  <c r="AZ104"/>
  <c r="AY104"/>
  <c r="AY112" s="1"/>
  <c r="AX104"/>
  <c r="AX112" s="1"/>
  <c r="AW104"/>
  <c r="AW112" s="1"/>
  <c r="AV104"/>
  <c r="AU104"/>
  <c r="AU112" s="1"/>
  <c r="AT104"/>
  <c r="AT112" s="1"/>
  <c r="AS104"/>
  <c r="AS112" s="1"/>
  <c r="AR104"/>
  <c r="AQ104"/>
  <c r="AQ112" s="1"/>
  <c r="AP104"/>
  <c r="AP112" s="1"/>
  <c r="AO104"/>
  <c r="AO112" s="1"/>
  <c r="AN104"/>
  <c r="AM104"/>
  <c r="AM112" s="1"/>
  <c r="AL104"/>
  <c r="AL112" s="1"/>
  <c r="AK104"/>
  <c r="AK112" s="1"/>
  <c r="AJ104"/>
  <c r="AI104"/>
  <c r="AI112" s="1"/>
  <c r="AH104"/>
  <c r="AH112" s="1"/>
  <c r="AG104"/>
  <c r="AG112" s="1"/>
  <c r="AF104"/>
  <c r="AE104"/>
  <c r="AE112" s="1"/>
  <c r="AD104"/>
  <c r="AD112" s="1"/>
  <c r="AC104"/>
  <c r="AC112" s="1"/>
  <c r="AB104"/>
  <c r="AA104"/>
  <c r="AA112" s="1"/>
  <c r="Z104"/>
  <c r="Z112" s="1"/>
  <c r="Y104"/>
  <c r="Y112" s="1"/>
  <c r="X104"/>
  <c r="W104"/>
  <c r="W112" s="1"/>
  <c r="V104"/>
  <c r="V112" s="1"/>
  <c r="U104"/>
  <c r="U112" s="1"/>
  <c r="T104"/>
  <c r="S104"/>
  <c r="S112" s="1"/>
  <c r="R104"/>
  <c r="R112" s="1"/>
  <c r="Q104"/>
  <c r="Q112" s="1"/>
  <c r="P104"/>
  <c r="O104"/>
  <c r="O112" s="1"/>
  <c r="N104"/>
  <c r="N112" s="1"/>
  <c r="M104"/>
  <c r="M112" s="1"/>
  <c r="L104"/>
  <c r="K104"/>
  <c r="K112" s="1"/>
  <c r="J104"/>
  <c r="J112" s="1"/>
  <c r="I104"/>
  <c r="I112" s="1"/>
  <c r="H104"/>
  <c r="G104"/>
  <c r="G112" s="1"/>
  <c r="F104"/>
  <c r="F112" s="1"/>
  <c r="E104"/>
  <c r="BF90"/>
  <c r="E96"/>
  <c r="F96"/>
  <c r="G96"/>
  <c r="H96"/>
  <c r="I96"/>
  <c r="J96"/>
  <c r="K96"/>
  <c r="L96"/>
  <c r="M96"/>
  <c r="N96"/>
  <c r="O96"/>
  <c r="P96"/>
  <c r="Q96"/>
  <c r="R96"/>
  <c r="S96"/>
  <c r="T96"/>
  <c r="U96"/>
  <c r="V96"/>
  <c r="W96"/>
  <c r="X96"/>
  <c r="Y96"/>
  <c r="Z96"/>
  <c r="AA96"/>
  <c r="AB96"/>
  <c r="AC96"/>
  <c r="AD96"/>
  <c r="AE96"/>
  <c r="AF96"/>
  <c r="AG96"/>
  <c r="AH96"/>
  <c r="AI96"/>
  <c r="AJ96"/>
  <c r="AK96"/>
  <c r="AL96"/>
  <c r="AM96"/>
  <c r="AN96"/>
  <c r="AO96"/>
  <c r="AP96"/>
  <c r="AQ96"/>
  <c r="AR96"/>
  <c r="AS96"/>
  <c r="AT96"/>
  <c r="AU96"/>
  <c r="AV96"/>
  <c r="AW96"/>
  <c r="AX96"/>
  <c r="AY96"/>
  <c r="AZ96"/>
  <c r="BA96"/>
  <c r="BB96"/>
  <c r="BC96"/>
  <c r="BD96"/>
  <c r="BE96"/>
  <c r="BV64"/>
  <c r="K64"/>
  <c r="BU63"/>
  <c r="BU64" s="1"/>
  <c r="BM63"/>
  <c r="BM64" s="1"/>
  <c r="BE63"/>
  <c r="BE64" s="1"/>
  <c r="AW63"/>
  <c r="AW64" s="1"/>
  <c r="AO63"/>
  <c r="AO64" s="1"/>
  <c r="AG63"/>
  <c r="AG64" s="1"/>
  <c r="Y63"/>
  <c r="Y64" s="1"/>
  <c r="Q63"/>
  <c r="Q64" s="1"/>
  <c r="H63"/>
  <c r="H64" s="1"/>
  <c r="BU62"/>
  <c r="BT62"/>
  <c r="BT63" s="1"/>
  <c r="BT64" s="1"/>
  <c r="BS62"/>
  <c r="BS63" s="1"/>
  <c r="BS64" s="1"/>
  <c r="BR62"/>
  <c r="BR63" s="1"/>
  <c r="BR64" s="1"/>
  <c r="BQ62"/>
  <c r="BQ63" s="1"/>
  <c r="BQ64" s="1"/>
  <c r="BP62"/>
  <c r="BP63" s="1"/>
  <c r="BP64" s="1"/>
  <c r="BO62"/>
  <c r="BO63" s="1"/>
  <c r="BO64" s="1"/>
  <c r="BN62"/>
  <c r="BN63" s="1"/>
  <c r="BN64" s="1"/>
  <c r="BM62"/>
  <c r="BL62"/>
  <c r="BL63" s="1"/>
  <c r="BL64" s="1"/>
  <c r="BK62"/>
  <c r="BK63" s="1"/>
  <c r="BK64" s="1"/>
  <c r="BJ62"/>
  <c r="BJ63" s="1"/>
  <c r="BJ64" s="1"/>
  <c r="BI62"/>
  <c r="BI63" s="1"/>
  <c r="BI64" s="1"/>
  <c r="BH62"/>
  <c r="BH63" s="1"/>
  <c r="BH64" s="1"/>
  <c r="BG62"/>
  <c r="BG63" s="1"/>
  <c r="BG64" s="1"/>
  <c r="BF62"/>
  <c r="BF63" s="1"/>
  <c r="BF64" s="1"/>
  <c r="BE62"/>
  <c r="BD62"/>
  <c r="BD63" s="1"/>
  <c r="BD64" s="1"/>
  <c r="BC62"/>
  <c r="BC63" s="1"/>
  <c r="BC64" s="1"/>
  <c r="BB62"/>
  <c r="BB63" s="1"/>
  <c r="BB64" s="1"/>
  <c r="BA62"/>
  <c r="BA63" s="1"/>
  <c r="BA64" s="1"/>
  <c r="AZ62"/>
  <c r="AZ63" s="1"/>
  <c r="AZ64" s="1"/>
  <c r="AY62"/>
  <c r="AY63" s="1"/>
  <c r="AY64" s="1"/>
  <c r="AX62"/>
  <c r="AX63" s="1"/>
  <c r="AX64" s="1"/>
  <c r="AW62"/>
  <c r="AV62"/>
  <c r="AV63" s="1"/>
  <c r="AV64" s="1"/>
  <c r="AU62"/>
  <c r="AU63" s="1"/>
  <c r="AU64" s="1"/>
  <c r="AT62"/>
  <c r="AT63" s="1"/>
  <c r="AT64" s="1"/>
  <c r="AS62"/>
  <c r="AS63" s="1"/>
  <c r="AS64" s="1"/>
  <c r="AR62"/>
  <c r="AR63" s="1"/>
  <c r="AR64" s="1"/>
  <c r="AQ62"/>
  <c r="AQ63" s="1"/>
  <c r="AQ64" s="1"/>
  <c r="AP62"/>
  <c r="AP63" s="1"/>
  <c r="AP64" s="1"/>
  <c r="AO62"/>
  <c r="AN62"/>
  <c r="AN63" s="1"/>
  <c r="AN64" s="1"/>
  <c r="AM62"/>
  <c r="AM63" s="1"/>
  <c r="AM64" s="1"/>
  <c r="AL62"/>
  <c r="AL63" s="1"/>
  <c r="AL64" s="1"/>
  <c r="AK62"/>
  <c r="AK63" s="1"/>
  <c r="AK64" s="1"/>
  <c r="AJ62"/>
  <c r="AJ63" s="1"/>
  <c r="AJ64" s="1"/>
  <c r="AI62"/>
  <c r="AI63" s="1"/>
  <c r="AI64" s="1"/>
  <c r="AH62"/>
  <c r="AH63" s="1"/>
  <c r="AH64" s="1"/>
  <c r="AG62"/>
  <c r="AF62"/>
  <c r="AF63" s="1"/>
  <c r="AF64" s="1"/>
  <c r="AE62"/>
  <c r="AE63" s="1"/>
  <c r="AE64" s="1"/>
  <c r="AD62"/>
  <c r="AD63" s="1"/>
  <c r="AD64" s="1"/>
  <c r="AC62"/>
  <c r="AC63" s="1"/>
  <c r="AC64" s="1"/>
  <c r="AB62"/>
  <c r="AB63" s="1"/>
  <c r="AB64" s="1"/>
  <c r="AA62"/>
  <c r="AA63" s="1"/>
  <c r="AA64" s="1"/>
  <c r="Z62"/>
  <c r="Z63" s="1"/>
  <c r="Z64" s="1"/>
  <c r="Y62"/>
  <c r="X62"/>
  <c r="X63" s="1"/>
  <c r="X64" s="1"/>
  <c r="W62"/>
  <c r="W63" s="1"/>
  <c r="W64" s="1"/>
  <c r="V62"/>
  <c r="V63" s="1"/>
  <c r="V64" s="1"/>
  <c r="U62"/>
  <c r="U63" s="1"/>
  <c r="U64" s="1"/>
  <c r="T62"/>
  <c r="T63" s="1"/>
  <c r="T64" s="1"/>
  <c r="S62"/>
  <c r="S63" s="1"/>
  <c r="S64" s="1"/>
  <c r="R62"/>
  <c r="R63" s="1"/>
  <c r="R64" s="1"/>
  <c r="Q62"/>
  <c r="P62"/>
  <c r="P63" s="1"/>
  <c r="P64" s="1"/>
  <c r="O62"/>
  <c r="O63" s="1"/>
  <c r="O64" s="1"/>
  <c r="N62"/>
  <c r="N63" s="1"/>
  <c r="N64" s="1"/>
  <c r="M62"/>
  <c r="M63" s="1"/>
  <c r="M64" s="1"/>
  <c r="L62"/>
  <c r="L63" s="1"/>
  <c r="L64" s="1"/>
  <c r="J62"/>
  <c r="J63" s="1"/>
  <c r="J64" s="1"/>
  <c r="I62"/>
  <c r="I63" s="1"/>
  <c r="I64" s="1"/>
  <c r="H62"/>
  <c r="G62"/>
  <c r="G63" s="1"/>
  <c r="G64" s="1"/>
  <c r="F62"/>
  <c r="F63" s="1"/>
  <c r="F64" s="1"/>
  <c r="AP36"/>
  <c r="Z36"/>
  <c r="J36"/>
  <c r="BE29"/>
  <c r="BE36" s="1"/>
  <c r="BD29"/>
  <c r="BD36" s="1"/>
  <c r="BC29"/>
  <c r="BC36" s="1"/>
  <c r="BB29"/>
  <c r="BB36" s="1"/>
  <c r="BA29"/>
  <c r="BA36" s="1"/>
  <c r="AZ29"/>
  <c r="AZ36" s="1"/>
  <c r="AY29"/>
  <c r="AY36" s="1"/>
  <c r="AX29"/>
  <c r="AX36" s="1"/>
  <c r="AW29"/>
  <c r="AW36" s="1"/>
  <c r="AV29"/>
  <c r="AV36" s="1"/>
  <c r="AU29"/>
  <c r="AU36" s="1"/>
  <c r="AT29"/>
  <c r="AT36" s="1"/>
  <c r="AS29"/>
  <c r="AS36" s="1"/>
  <c r="AR29"/>
  <c r="AR36" s="1"/>
  <c r="AQ29"/>
  <c r="AQ36" s="1"/>
  <c r="AP29"/>
  <c r="AO29"/>
  <c r="AO36" s="1"/>
  <c r="AN29"/>
  <c r="AN36" s="1"/>
  <c r="AM29"/>
  <c r="AM36" s="1"/>
  <c r="AL29"/>
  <c r="AL36" s="1"/>
  <c r="AK29"/>
  <c r="AK36" s="1"/>
  <c r="AJ29"/>
  <c r="AJ36" s="1"/>
  <c r="AI29"/>
  <c r="AI36" s="1"/>
  <c r="AH29"/>
  <c r="AH36" s="1"/>
  <c r="AG29"/>
  <c r="AG36" s="1"/>
  <c r="AF29"/>
  <c r="AF36" s="1"/>
  <c r="AE29"/>
  <c r="AE36" s="1"/>
  <c r="AD29"/>
  <c r="AD36" s="1"/>
  <c r="AC29"/>
  <c r="AC36" s="1"/>
  <c r="AB29"/>
  <c r="AB36" s="1"/>
  <c r="AA29"/>
  <c r="AA36" s="1"/>
  <c r="Z29"/>
  <c r="Y29"/>
  <c r="Y36" s="1"/>
  <c r="X29"/>
  <c r="X36" s="1"/>
  <c r="W29"/>
  <c r="W36" s="1"/>
  <c r="V29"/>
  <c r="V36" s="1"/>
  <c r="U29"/>
  <c r="U36" s="1"/>
  <c r="T29"/>
  <c r="T36" s="1"/>
  <c r="S29"/>
  <c r="S36" s="1"/>
  <c r="R29"/>
  <c r="R36" s="1"/>
  <c r="Q29"/>
  <c r="Q36" s="1"/>
  <c r="P29"/>
  <c r="P36" s="1"/>
  <c r="O29"/>
  <c r="O36" s="1"/>
  <c r="N29"/>
  <c r="N36" s="1"/>
  <c r="M29"/>
  <c r="M36" s="1"/>
  <c r="L29"/>
  <c r="L36" s="1"/>
  <c r="K29"/>
  <c r="K36" s="1"/>
  <c r="J29"/>
  <c r="I29"/>
  <c r="I36" s="1"/>
  <c r="H29"/>
  <c r="H36" s="1"/>
  <c r="G29"/>
  <c r="G36" s="1"/>
  <c r="F29"/>
  <c r="F36" s="1"/>
  <c r="E29"/>
  <c r="E36" s="1"/>
  <c r="F14" i="2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F19"/>
  <c r="G19"/>
  <c r="H19"/>
  <c r="I19"/>
  <c r="J19"/>
  <c r="K19"/>
  <c r="L19"/>
  <c r="M19"/>
  <c r="N19"/>
  <c r="O19"/>
  <c r="P19"/>
  <c r="Q19"/>
  <c r="R19"/>
  <c r="S19"/>
  <c r="T19"/>
  <c r="U19"/>
  <c r="V19"/>
  <c r="W19"/>
  <c r="X19"/>
  <c r="Y19"/>
  <c r="Z19"/>
  <c r="AA19"/>
  <c r="AB19"/>
  <c r="AC19"/>
  <c r="AD19"/>
  <c r="AE19"/>
  <c r="AF19"/>
  <c r="AG19"/>
  <c r="AH19"/>
  <c r="AI19"/>
  <c r="AJ19"/>
  <c r="AK19"/>
  <c r="AL19"/>
  <c r="AM19"/>
  <c r="AN19"/>
  <c r="AO19"/>
  <c r="AP19"/>
  <c r="AQ19"/>
  <c r="AR19"/>
  <c r="AS19"/>
  <c r="AT19"/>
  <c r="AU19"/>
  <c r="AV19"/>
  <c r="AW19"/>
  <c r="AX19"/>
  <c r="AY19"/>
  <c r="AZ19"/>
  <c r="BA19"/>
  <c r="BB19"/>
  <c r="BC19"/>
  <c r="BD19"/>
  <c r="BE19"/>
  <c r="F21"/>
  <c r="G21"/>
  <c r="H21"/>
  <c r="H27" s="1"/>
  <c r="I21"/>
  <c r="J21"/>
  <c r="K21"/>
  <c r="L21"/>
  <c r="L27" s="1"/>
  <c r="M21"/>
  <c r="N21"/>
  <c r="O21"/>
  <c r="P21"/>
  <c r="P27" s="1"/>
  <c r="Q21"/>
  <c r="R21"/>
  <c r="S21"/>
  <c r="T21"/>
  <c r="T27" s="1"/>
  <c r="U21"/>
  <c r="V21"/>
  <c r="W21"/>
  <c r="X21"/>
  <c r="Y21"/>
  <c r="Z21"/>
  <c r="AA21"/>
  <c r="AB21"/>
  <c r="AC21"/>
  <c r="AD21"/>
  <c r="AE21"/>
  <c r="AF21"/>
  <c r="AG21"/>
  <c r="AH21"/>
  <c r="AI21"/>
  <c r="AJ21"/>
  <c r="AK21"/>
  <c r="AL21"/>
  <c r="AM21"/>
  <c r="AN21"/>
  <c r="AO21"/>
  <c r="AP21"/>
  <c r="AQ21"/>
  <c r="AR21"/>
  <c r="AS21"/>
  <c r="AT21"/>
  <c r="AU21"/>
  <c r="AV21"/>
  <c r="AW21"/>
  <c r="AX21"/>
  <c r="AY21"/>
  <c r="AZ21"/>
  <c r="BA21"/>
  <c r="BB21"/>
  <c r="BC21"/>
  <c r="BD21"/>
  <c r="BE21"/>
  <c r="F24"/>
  <c r="F27" s="1"/>
  <c r="G27"/>
  <c r="J27"/>
  <c r="M27"/>
  <c r="N27"/>
  <c r="O27"/>
  <c r="R27"/>
  <c r="U27"/>
  <c r="V27"/>
  <c r="W27"/>
  <c r="X27"/>
  <c r="Y27"/>
  <c r="Z27"/>
  <c r="AA27"/>
  <c r="AB27"/>
  <c r="AC27"/>
  <c r="AD27"/>
  <c r="AE27"/>
  <c r="AF27"/>
  <c r="AG27"/>
  <c r="AH27"/>
  <c r="AI27"/>
  <c r="AJ27"/>
  <c r="AK27"/>
  <c r="AL27"/>
  <c r="AM27"/>
  <c r="AN27"/>
  <c r="AO27"/>
  <c r="AP27"/>
  <c r="AQ27"/>
  <c r="AR27"/>
  <c r="AS27"/>
  <c r="AT27"/>
  <c r="AU27"/>
  <c r="AV27"/>
  <c r="AW27"/>
  <c r="AX27"/>
  <c r="AY27"/>
  <c r="AZ27"/>
  <c r="BA27"/>
  <c r="BB27"/>
  <c r="BC27"/>
  <c r="BD27"/>
  <c r="BE27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Z30"/>
  <c r="AA30"/>
  <c r="AB30"/>
  <c r="AC30"/>
  <c r="AD30"/>
  <c r="AE30"/>
  <c r="AF30"/>
  <c r="AG30"/>
  <c r="AH30"/>
  <c r="AI30"/>
  <c r="AJ30"/>
  <c r="AK30"/>
  <c r="AL30"/>
  <c r="AM30"/>
  <c r="AN30"/>
  <c r="AO30"/>
  <c r="AP30"/>
  <c r="AQ30"/>
  <c r="AR30"/>
  <c r="AS30"/>
  <c r="AT30"/>
  <c r="AU30"/>
  <c r="AV30"/>
  <c r="AW30"/>
  <c r="AX30"/>
  <c r="AY30"/>
  <c r="AZ30"/>
  <c r="BA30"/>
  <c r="BB30"/>
  <c r="BC30"/>
  <c r="BD30"/>
  <c r="BE30"/>
  <c r="BF30"/>
  <c r="BG30"/>
  <c r="BH30"/>
  <c r="BI30"/>
  <c r="BJ30"/>
  <c r="BK30"/>
  <c r="BL30"/>
  <c r="BM30"/>
  <c r="BN30"/>
  <c r="BO30"/>
  <c r="BP30"/>
  <c r="BF151" i="11"/>
  <c r="BE151"/>
  <c r="BD151"/>
  <c r="BC151"/>
  <c r="BB151"/>
  <c r="BA151"/>
  <c r="AZ151"/>
  <c r="AY151"/>
  <c r="AX151"/>
  <c r="AW151"/>
  <c r="AV151"/>
  <c r="AU151"/>
  <c r="AT151"/>
  <c r="AS151"/>
  <c r="AR151"/>
  <c r="AQ151"/>
  <c r="AP151"/>
  <c r="AO151"/>
  <c r="AN151"/>
  <c r="AM151"/>
  <c r="AL151"/>
  <c r="AJ151"/>
  <c r="AI151"/>
  <c r="AH151"/>
  <c r="AG151"/>
  <c r="AF151"/>
  <c r="AE151"/>
  <c r="AD151"/>
  <c r="AC151"/>
  <c r="AB151"/>
  <c r="AA151"/>
  <c r="Z151"/>
  <c r="Y151"/>
  <c r="X151"/>
  <c r="W151"/>
  <c r="V151"/>
  <c r="U151"/>
  <c r="T151"/>
  <c r="S151"/>
  <c r="R151"/>
  <c r="Q151"/>
  <c r="P151"/>
  <c r="O151"/>
  <c r="N151"/>
  <c r="M151"/>
  <c r="L151"/>
  <c r="K151"/>
  <c r="J151"/>
  <c r="I151"/>
  <c r="H151"/>
  <c r="G151"/>
  <c r="G41" i="10"/>
  <c r="H41"/>
  <c r="I41"/>
  <c r="J41"/>
  <c r="K41"/>
  <c r="L41"/>
  <c r="M41"/>
  <c r="N41"/>
  <c r="O41"/>
  <c r="P41"/>
  <c r="Q41"/>
  <c r="R41"/>
  <c r="S41"/>
  <c r="T41"/>
  <c r="U41"/>
  <c r="V41"/>
  <c r="W41"/>
  <c r="X41"/>
  <c r="Y41"/>
  <c r="Z41"/>
  <c r="AA41"/>
  <c r="AB41"/>
  <c r="AC41"/>
  <c r="AD41"/>
  <c r="AE41"/>
  <c r="AF41"/>
  <c r="AG41"/>
  <c r="AH41"/>
  <c r="AI41"/>
  <c r="AJ41"/>
  <c r="AK41"/>
  <c r="AL41"/>
  <c r="AM41"/>
  <c r="AN41"/>
  <c r="AO41"/>
  <c r="AP41"/>
  <c r="AQ41"/>
  <c r="AR41"/>
  <c r="AS41"/>
  <c r="AT41"/>
  <c r="AU41"/>
  <c r="AV41"/>
  <c r="AW41"/>
  <c r="AX41"/>
  <c r="AY41"/>
  <c r="AZ41"/>
  <c r="BA41"/>
  <c r="BB41"/>
  <c r="BC41"/>
  <c r="BD41"/>
  <c r="BE41"/>
  <c r="F41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Z36"/>
  <c r="AA36"/>
  <c r="AB36"/>
  <c r="AC36"/>
  <c r="AD36"/>
  <c r="AE36"/>
  <c r="AF36"/>
  <c r="AG36"/>
  <c r="AH36"/>
  <c r="AI36"/>
  <c r="AJ36"/>
  <c r="AK36"/>
  <c r="AL36"/>
  <c r="AM36"/>
  <c r="AN36"/>
  <c r="AO36"/>
  <c r="AP36"/>
  <c r="AQ36"/>
  <c r="AR36"/>
  <c r="AS36"/>
  <c r="AT36"/>
  <c r="AU36"/>
  <c r="AV36"/>
  <c r="AW36"/>
  <c r="AX36"/>
  <c r="AY36"/>
  <c r="AZ36"/>
  <c r="BA36"/>
  <c r="BB36"/>
  <c r="BC36"/>
  <c r="BD36"/>
  <c r="BE36"/>
  <c r="F36"/>
  <c r="BF36" s="1"/>
  <c r="BG43"/>
  <c r="BF34"/>
  <c r="BF33"/>
  <c r="BF32"/>
  <c r="BF31"/>
  <c r="F13"/>
  <c r="BF23"/>
  <c r="G26"/>
  <c r="H26"/>
  <c r="I26"/>
  <c r="J26"/>
  <c r="K26"/>
  <c r="L26"/>
  <c r="M26"/>
  <c r="N26"/>
  <c r="O26"/>
  <c r="P26"/>
  <c r="Q26"/>
  <c r="R26"/>
  <c r="S26"/>
  <c r="T26"/>
  <c r="U26"/>
  <c r="V26"/>
  <c r="W26"/>
  <c r="X26"/>
  <c r="Y26"/>
  <c r="Z26"/>
  <c r="AA26"/>
  <c r="AB26"/>
  <c r="AC26"/>
  <c r="AD26"/>
  <c r="AE26"/>
  <c r="AF26"/>
  <c r="AG26"/>
  <c r="AH26"/>
  <c r="AI26"/>
  <c r="AJ26"/>
  <c r="AK26"/>
  <c r="AL26"/>
  <c r="AM26"/>
  <c r="AN26"/>
  <c r="AO26"/>
  <c r="AP26"/>
  <c r="AQ26"/>
  <c r="AR26"/>
  <c r="AS26"/>
  <c r="AT26"/>
  <c r="AU26"/>
  <c r="AV26"/>
  <c r="AW26"/>
  <c r="AX26"/>
  <c r="AY26"/>
  <c r="AZ26"/>
  <c r="BA26"/>
  <c r="BB26"/>
  <c r="BC26"/>
  <c r="BD26"/>
  <c r="BE26"/>
  <c r="F26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Q27" i="2" l="1"/>
  <c r="I27"/>
  <c r="S27"/>
  <c r="K27"/>
  <c r="BF22" i="10"/>
  <c r="BF21"/>
  <c r="BF20"/>
  <c r="BH6" i="1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30"/>
  <c r="BH31"/>
  <c r="BH32"/>
  <c r="BH33"/>
  <c r="BH34"/>
  <c r="BH35"/>
  <c r="BH36"/>
  <c r="BH37"/>
  <c r="BH38"/>
  <c r="BH39"/>
  <c r="BH40"/>
  <c r="BH41"/>
  <c r="BH42"/>
  <c r="BH43"/>
  <c r="BH44"/>
  <c r="BH45"/>
  <c r="BH46"/>
  <c r="BH47"/>
  <c r="BH48"/>
  <c r="BH49"/>
  <c r="BH50"/>
  <c r="BH51"/>
  <c r="BH52"/>
  <c r="BH53"/>
  <c r="BH54"/>
  <c r="BH55"/>
  <c r="BH5"/>
  <c r="BF7" i="10"/>
  <c r="BF4"/>
  <c r="AN103" i="1" l="1"/>
  <c r="AO103"/>
  <c r="AP103"/>
  <c r="AQ117"/>
  <c r="AR117"/>
  <c r="AS117"/>
  <c r="AT117"/>
  <c r="AU117"/>
  <c r="AV117"/>
  <c r="AW117"/>
  <c r="AX117"/>
  <c r="AY117"/>
  <c r="AZ117"/>
  <c r="BA117"/>
  <c r="BB117"/>
  <c r="BC117"/>
  <c r="BD117"/>
  <c r="BE117"/>
  <c r="E13" i="9"/>
  <c r="G13"/>
  <c r="H13"/>
  <c r="I13"/>
  <c r="J13"/>
  <c r="K13"/>
  <c r="L13"/>
  <c r="M13"/>
  <c r="N13"/>
  <c r="O13"/>
  <c r="P13"/>
  <c r="Q13"/>
  <c r="R13"/>
  <c r="S13"/>
  <c r="T13"/>
  <c r="U13"/>
  <c r="V13"/>
  <c r="W13"/>
  <c r="X13"/>
  <c r="Y13"/>
  <c r="Z13"/>
  <c r="AA13"/>
  <c r="AB13"/>
  <c r="AC13"/>
  <c r="AD13"/>
  <c r="AE13"/>
  <c r="AF13"/>
  <c r="AG13"/>
  <c r="AH13"/>
  <c r="AI13"/>
  <c r="AJ13"/>
  <c r="AK13"/>
  <c r="AL13"/>
  <c r="AM13"/>
  <c r="AN13"/>
  <c r="AO13"/>
  <c r="AP13"/>
  <c r="AQ13"/>
  <c r="AR13"/>
  <c r="AS13"/>
  <c r="AT13"/>
  <c r="AU13"/>
  <c r="AV13"/>
  <c r="AW13"/>
  <c r="AX13"/>
  <c r="AY13"/>
  <c r="AZ13"/>
  <c r="BA13"/>
  <c r="BB13"/>
  <c r="BC13"/>
  <c r="BD13"/>
  <c r="BE13"/>
  <c r="F13"/>
  <c r="F14" i="4"/>
  <c r="G14"/>
  <c r="H14"/>
  <c r="I14"/>
  <c r="J14"/>
  <c r="K14"/>
  <c r="L14"/>
  <c r="M14"/>
  <c r="N14"/>
  <c r="O14"/>
  <c r="P14"/>
  <c r="Q14"/>
  <c r="R14"/>
  <c r="S14"/>
  <c r="T14"/>
  <c r="U14"/>
  <c r="V14"/>
  <c r="W14"/>
  <c r="X14"/>
  <c r="Y14"/>
  <c r="Z14"/>
  <c r="AA14"/>
  <c r="AB14"/>
  <c r="AC14"/>
  <c r="AD14"/>
  <c r="AE14"/>
  <c r="AF14"/>
  <c r="AG14"/>
  <c r="AH14"/>
  <c r="AI14"/>
  <c r="AJ14"/>
  <c r="AK14"/>
  <c r="AL14"/>
  <c r="AM14"/>
  <c r="AN14"/>
  <c r="AO14"/>
  <c r="AP14"/>
  <c r="AQ14"/>
  <c r="AR14"/>
  <c r="AS14"/>
  <c r="AT14"/>
  <c r="AU14"/>
  <c r="AV14"/>
  <c r="AW14"/>
  <c r="AX14"/>
  <c r="AY14"/>
  <c r="AZ14"/>
  <c r="BA14"/>
  <c r="BB14"/>
  <c r="BC14"/>
  <c r="BD14"/>
  <c r="BE14"/>
  <c r="E14"/>
  <c r="BF12"/>
  <c r="BF11"/>
  <c r="BF10"/>
  <c r="BF9"/>
  <c r="BF8"/>
  <c r="BF7"/>
  <c r="BF6"/>
  <c r="BF5"/>
  <c r="BF4"/>
  <c r="BF3"/>
  <c r="S29" i="1"/>
  <c r="AK29"/>
  <c r="X29"/>
  <c r="Y29"/>
  <c r="AB29"/>
  <c r="AG29"/>
  <c r="AI29"/>
  <c r="AX29"/>
  <c r="AW29"/>
  <c r="AO29"/>
  <c r="H29"/>
  <c r="AP29"/>
  <c r="AC29"/>
  <c r="L29"/>
  <c r="R29"/>
  <c r="BE29"/>
  <c r="V29"/>
  <c r="AD29"/>
  <c r="W29"/>
  <c r="G29"/>
  <c r="BD29"/>
  <c r="Q29"/>
  <c r="P29"/>
  <c r="AV29"/>
  <c r="AF29"/>
  <c r="AE29"/>
  <c r="AT29"/>
  <c r="U29"/>
  <c r="O29"/>
  <c r="AS29"/>
  <c r="AA29"/>
  <c r="AR29"/>
  <c r="AQ29"/>
  <c r="N29"/>
  <c r="BC29"/>
  <c r="BB29"/>
  <c r="AM29"/>
  <c r="M29"/>
  <c r="BG29"/>
  <c r="K29"/>
  <c r="AU29"/>
  <c r="Z29"/>
  <c r="T29"/>
  <c r="AJ29"/>
  <c r="BF29"/>
  <c r="I29"/>
  <c r="AN29"/>
  <c r="BA29"/>
  <c r="J29"/>
  <c r="AY29"/>
  <c r="AZ29"/>
  <c r="BH29" l="1"/>
</calcChain>
</file>

<file path=xl/sharedStrings.xml><?xml version="1.0" encoding="utf-8"?>
<sst xmlns="http://schemas.openxmlformats.org/spreadsheetml/2006/main" count="2054" uniqueCount="430">
  <si>
    <t>fdc id</t>
  </si>
  <si>
    <t>G</t>
  </si>
  <si>
    <t>Carotene, alpha</t>
  </si>
  <si>
    <t>UG</t>
  </si>
  <si>
    <t>Fatty acids</t>
  </si>
  <si>
    <t>Vitamin C</t>
  </si>
  <si>
    <t>MG</t>
  </si>
  <si>
    <t>Sugars</t>
  </si>
  <si>
    <t>Phenylalanine</t>
  </si>
  <si>
    <t>Starch</t>
  </si>
  <si>
    <t>Ash</t>
  </si>
  <si>
    <t>Protein</t>
  </si>
  <si>
    <t>Leucine</t>
  </si>
  <si>
    <t>Sodium</t>
  </si>
  <si>
    <t>Copper</t>
  </si>
  <si>
    <t>Carotene, beta</t>
  </si>
  <si>
    <t>Vitamin E (alpha-tocopherol)</t>
  </si>
  <si>
    <t>Cryptoxanthin</t>
  </si>
  <si>
    <t>Niacin</t>
  </si>
  <si>
    <t>KCAL</t>
  </si>
  <si>
    <t>Magnesium</t>
  </si>
  <si>
    <t>Fiber</t>
  </si>
  <si>
    <t>Folate</t>
  </si>
  <si>
    <t>Theobromine</t>
  </si>
  <si>
    <t>Iron</t>
  </si>
  <si>
    <t>Sucrose</t>
  </si>
  <si>
    <t>Valine</t>
  </si>
  <si>
    <t>Proline</t>
  </si>
  <si>
    <t>Choline</t>
  </si>
  <si>
    <t>Phosphorus</t>
  </si>
  <si>
    <t>Maltose</t>
  </si>
  <si>
    <t>Vitamin D (D2 + D3)</t>
  </si>
  <si>
    <t>IU</t>
  </si>
  <si>
    <t>Zinc</t>
  </si>
  <si>
    <t>Vitamin B-12</t>
  </si>
  <si>
    <t>Glucose</t>
  </si>
  <si>
    <t>Potassium</t>
  </si>
  <si>
    <t>Glutamic acid</t>
  </si>
  <si>
    <t>Carbohydrate</t>
  </si>
  <si>
    <t>Retinol</t>
  </si>
  <si>
    <t>Vitamin K (phylloquinone)</t>
  </si>
  <si>
    <t>Vitamin E</t>
  </si>
  <si>
    <t>Histidine</t>
  </si>
  <si>
    <t>Tryptophan</t>
  </si>
  <si>
    <t>Riboflavin</t>
  </si>
  <si>
    <t>Folic acid</t>
  </si>
  <si>
    <t>Pantothenic acid</t>
  </si>
  <si>
    <t>Calcium</t>
  </si>
  <si>
    <t>Threonine</t>
  </si>
  <si>
    <t>Galactose</t>
  </si>
  <si>
    <t>Serine</t>
  </si>
  <si>
    <t>Cystine</t>
  </si>
  <si>
    <t>Selenium</t>
  </si>
  <si>
    <t>Lycopene</t>
  </si>
  <si>
    <t>Aspartic acid</t>
  </si>
  <si>
    <t>Thiamin</t>
  </si>
  <si>
    <t>Total lipid (fat)</t>
  </si>
  <si>
    <t>Alanine</t>
  </si>
  <si>
    <t>Vitamin B-6</t>
  </si>
  <si>
    <t>Manganese</t>
  </si>
  <si>
    <t>Lutein + zeaxanthin</t>
  </si>
  <si>
    <t>Methionine</t>
  </si>
  <si>
    <t>Lysine</t>
  </si>
  <si>
    <t>Vitamin A, RAE</t>
  </si>
  <si>
    <t>Tyrosine</t>
  </si>
  <si>
    <t>Glycine</t>
  </si>
  <si>
    <t>Vitamin A</t>
  </si>
  <si>
    <t>Arginine</t>
  </si>
  <si>
    <t>Isoleucine</t>
  </si>
  <si>
    <t>Cholesterol</t>
  </si>
  <si>
    <t>cup</t>
  </si>
  <si>
    <t>Betaine</t>
  </si>
  <si>
    <t>Energy KJ</t>
  </si>
  <si>
    <t>Energy Kcal</t>
  </si>
  <si>
    <t>oz</t>
  </si>
  <si>
    <t>Hydroxyproline</t>
  </si>
  <si>
    <t>Food Amount</t>
  </si>
  <si>
    <t>Description</t>
  </si>
  <si>
    <t>cup, chopped or sliced</t>
  </si>
  <si>
    <t>Pears raw</t>
  </si>
  <si>
    <t>Barley pearled cooked</t>
  </si>
  <si>
    <t>Raspberries raw</t>
  </si>
  <si>
    <t>Blueberries raw</t>
  </si>
  <si>
    <t>Blackberries raw</t>
  </si>
  <si>
    <t>Egg whole cooked hard-boiled</t>
  </si>
  <si>
    <t>Egg yolk</t>
  </si>
  <si>
    <t>Category</t>
  </si>
  <si>
    <t>Fruit</t>
  </si>
  <si>
    <t>Veg</t>
  </si>
  <si>
    <t>Rice wild cooked</t>
  </si>
  <si>
    <t>Beans black</t>
  </si>
  <si>
    <t>Beans black turtle</t>
  </si>
  <si>
    <t xml:space="preserve">Beans kidney </t>
  </si>
  <si>
    <t>Beans kidney red</t>
  </si>
  <si>
    <t>Beans pink</t>
  </si>
  <si>
    <t xml:space="preserve">Beans pinto </t>
  </si>
  <si>
    <t>Beans white</t>
  </si>
  <si>
    <t>Beans lima</t>
  </si>
  <si>
    <t>Noodles egg enriched</t>
  </si>
  <si>
    <t>Beans soy</t>
  </si>
  <si>
    <t>Beef ground 90% lean</t>
  </si>
  <si>
    <t>Pork tenderloin</t>
  </si>
  <si>
    <t>REESE'S Peanut Butter Cups</t>
  </si>
  <si>
    <t>Broccoli frozen</t>
  </si>
  <si>
    <t>Corn sweet yellow canned cream style</t>
  </si>
  <si>
    <t>Corn sweet yellow canned whole kernel</t>
  </si>
  <si>
    <t xml:space="preserve">Corn sweet yellow frozen </t>
  </si>
  <si>
    <t xml:space="preserve">Peas green frozen </t>
  </si>
  <si>
    <t>Potatoes without skins</t>
  </si>
  <si>
    <t>Tomatoes red</t>
  </si>
  <si>
    <t>Almond butter salt added</t>
  </si>
  <si>
    <t>Dairy</t>
  </si>
  <si>
    <t>Cheese monterey</t>
  </si>
  <si>
    <t>Cheese Mexican blend</t>
  </si>
  <si>
    <t>Cheese colby</t>
  </si>
  <si>
    <t>Cheese cream</t>
  </si>
  <si>
    <t>Nuts pecans</t>
  </si>
  <si>
    <t>Proteins</t>
  </si>
  <si>
    <t>NutsnGrains</t>
  </si>
  <si>
    <t>Nuts walnuts english</t>
  </si>
  <si>
    <t>Nuts almonds</t>
  </si>
  <si>
    <t>Nuts brazilnuts dried unblanched</t>
  </si>
  <si>
    <t>Nuts hazelnuts or filberts</t>
  </si>
  <si>
    <t>203 1003</t>
  </si>
  <si>
    <t>204  1004</t>
  </si>
  <si>
    <t>205  1005</t>
  </si>
  <si>
    <t>291  1079</t>
  </si>
  <si>
    <t>513  1222</t>
  </si>
  <si>
    <t>207  1007</t>
  </si>
  <si>
    <t>514  1223</t>
  </si>
  <si>
    <t>454  1198</t>
  </si>
  <si>
    <t>432  1087</t>
  </si>
  <si>
    <t>322  1108</t>
  </si>
  <si>
    <t>321  1107</t>
  </si>
  <si>
    <t>601   1253</t>
  </si>
  <si>
    <t>511  1220</t>
  </si>
  <si>
    <t>421  1180</t>
  </si>
  <si>
    <t>312  1098</t>
  </si>
  <si>
    <t>334        1120</t>
  </si>
  <si>
    <t>507  1216</t>
  </si>
  <si>
    <t>268  1062</t>
  </si>
  <si>
    <t>208   1008</t>
  </si>
  <si>
    <t>645  1292</t>
  </si>
  <si>
    <t>435  1190</t>
  </si>
  <si>
    <t>431  1186</t>
  </si>
  <si>
    <t>287  1075</t>
  </si>
  <si>
    <t>211  1011</t>
  </si>
  <si>
    <t>515  1224</t>
  </si>
  <si>
    <t>516  1225</t>
  </si>
  <si>
    <t>512  1221</t>
  </si>
  <si>
    <t>303  1089</t>
  </si>
  <si>
    <t>503  1212</t>
  </si>
  <si>
    <t>504  1213</t>
  </si>
  <si>
    <t>338  1123</t>
  </si>
  <si>
    <t>337  1122</t>
  </si>
  <si>
    <t>505  1214</t>
  </si>
  <si>
    <t>304    1090</t>
  </si>
  <si>
    <t>214  1014</t>
  </si>
  <si>
    <t>315     1101</t>
  </si>
  <si>
    <t>506    1215</t>
  </si>
  <si>
    <t>406  1167</t>
  </si>
  <si>
    <t>410     1170</t>
  </si>
  <si>
    <t>508         1217</t>
  </si>
  <si>
    <t>305      1091</t>
  </si>
  <si>
    <t>306    1092</t>
  </si>
  <si>
    <t>517  1226</t>
  </si>
  <si>
    <t>319  1105</t>
  </si>
  <si>
    <t>405  1166</t>
  </si>
  <si>
    <t>317  1103</t>
  </si>
  <si>
    <t>518  1227</t>
  </si>
  <si>
    <t>307  1093</t>
  </si>
  <si>
    <t>209  1009</t>
  </si>
  <si>
    <t>210  1010</t>
  </si>
  <si>
    <t>269  2000</t>
  </si>
  <si>
    <t>263       1058</t>
  </si>
  <si>
    <t>404  1165</t>
  </si>
  <si>
    <t>502  1211</t>
  </si>
  <si>
    <t>501     1210</t>
  </si>
  <si>
    <t>509  1218</t>
  </si>
  <si>
    <t>510  1219</t>
  </si>
  <si>
    <t>318  1104</t>
  </si>
  <si>
    <t>320  1106</t>
  </si>
  <si>
    <t>418  1178</t>
  </si>
  <si>
    <t>415  1175</t>
  </si>
  <si>
    <t>401  1162</t>
  </si>
  <si>
    <t>324  1110</t>
  </si>
  <si>
    <t>573  1242</t>
  </si>
  <si>
    <t>323  1109</t>
  </si>
  <si>
    <t>430  1185</t>
  </si>
  <si>
    <t>309  1095</t>
  </si>
  <si>
    <t>Celery, raw</t>
  </si>
  <si>
    <t>TBSP 120gm</t>
  </si>
  <si>
    <t>Quinoa cooked</t>
  </si>
  <si>
    <t>onion</t>
  </si>
  <si>
    <t>garlic</t>
  </si>
  <si>
    <t>salt</t>
  </si>
  <si>
    <t>chili powder</t>
  </si>
  <si>
    <t>br sugar</t>
  </si>
  <si>
    <t>butter</t>
  </si>
  <si>
    <t>RDA</t>
  </si>
  <si>
    <t>mg</t>
  </si>
  <si>
    <t>mcg</t>
  </si>
  <si>
    <t>iu</t>
  </si>
  <si>
    <t>Biotin</t>
  </si>
  <si>
    <t>% RDA</t>
  </si>
  <si>
    <t>Homemade chili</t>
  </si>
  <si>
    <t>Per serving 6</t>
  </si>
  <si>
    <t>Entre</t>
  </si>
  <si>
    <t>gram weight</t>
  </si>
  <si>
    <t>Couscous, cooked</t>
  </si>
  <si>
    <t>Flour wheat allpurpose unbleached</t>
  </si>
  <si>
    <t>338      1123</t>
  </si>
  <si>
    <t>404 
 1165</t>
  </si>
  <si>
    <t>405 
 1166</t>
  </si>
  <si>
    <t>415 
 1175</t>
  </si>
  <si>
    <t xml:space="preserve"> 418
1178</t>
  </si>
  <si>
    <t>421
 1180</t>
  </si>
  <si>
    <t>506
 1215</t>
  </si>
  <si>
    <t>510 
1219</t>
  </si>
  <si>
    <t>Basil, fresh</t>
  </si>
  <si>
    <t>1 Tbsp</t>
  </si>
  <si>
    <t>1 cup</t>
  </si>
  <si>
    <t>3 oz</t>
  </si>
  <si>
    <t>100 gm</t>
  </si>
  <si>
    <t>1 oz</t>
  </si>
  <si>
    <t>.25 cup</t>
  </si>
  <si>
    <t>17 gm</t>
  </si>
  <si>
    <t>80 gm</t>
  </si>
  <si>
    <t>1 can</t>
  </si>
  <si>
    <t>1 lg</t>
  </si>
  <si>
    <t>1 bowl</t>
  </si>
  <si>
    <t>1 bag</t>
  </si>
  <si>
    <t>1 med</t>
  </si>
  <si>
    <t>.5 cup</t>
  </si>
  <si>
    <t>2 cups</t>
  </si>
  <si>
    <t>27 gm</t>
  </si>
  <si>
    <t>Apples fuji with skin raw</t>
  </si>
  <si>
    <t>Apples gala with skin raw</t>
  </si>
  <si>
    <t>Apples honeycrisp with skin raw</t>
  </si>
  <si>
    <t>Bamboo shoots canned drained solids</t>
  </si>
  <si>
    <t>Beef dried</t>
  </si>
  <si>
    <t>Beet greens raw</t>
  </si>
  <si>
    <t>Beets canned drained solids</t>
  </si>
  <si>
    <t>Cheese cheddar</t>
  </si>
  <si>
    <t>Chicken breast baked skin not eaten</t>
  </si>
  <si>
    <t>Cranberries raw</t>
  </si>
  <si>
    <t>Dandelion greens raw</t>
  </si>
  <si>
    <t>Vegetable oil</t>
  </si>
  <si>
    <t>Carbs</t>
  </si>
  <si>
    <t>Snickers Candy Bar</t>
  </si>
  <si>
    <t>Mounds Candy Bar</t>
  </si>
  <si>
    <t>Baby Ruth Candy Bar</t>
  </si>
  <si>
    <t>Edamame frozen prepared</t>
  </si>
  <si>
    <t>Tea black brewed</t>
  </si>
  <si>
    <t>Broccoli raab raw</t>
  </si>
  <si>
    <t>Brussels sprouts frozen cooked</t>
  </si>
  <si>
    <t>Rice white long grain</t>
  </si>
  <si>
    <t>Rice brown long grain</t>
  </si>
  <si>
    <t>MandMs Peanut Chocolate Candies</t>
  </si>
  <si>
    <t>Beef ground 90percent lean</t>
  </si>
  <si>
    <t>Beans great northern canned</t>
  </si>
  <si>
    <t>Garlic cooked</t>
  </si>
  <si>
    <t>1 clove</t>
  </si>
  <si>
    <t>1cup</t>
  </si>
  <si>
    <t>1 bar</t>
  </si>
  <si>
    <t>1 hen</t>
  </si>
  <si>
    <t>1 tsp</t>
  </si>
  <si>
    <t>Onions, yellow, raw</t>
  </si>
  <si>
    <t>Tater Tots</t>
  </si>
  <si>
    <t>Noodles chow mein</t>
  </si>
  <si>
    <t>14 pieces</t>
  </si>
  <si>
    <t>114g</t>
  </si>
  <si>
    <t>Tater Tot Hotdish</t>
  </si>
  <si>
    <t>1serving</t>
  </si>
  <si>
    <t>Grapes red or green raw</t>
  </si>
  <si>
    <t>Soup, stock, chicken, home-prepared</t>
  </si>
  <si>
    <t>10 tots</t>
  </si>
  <si>
    <t>1 T</t>
  </si>
  <si>
    <t>Milk 2percent</t>
  </si>
  <si>
    <t>Grain</t>
  </si>
  <si>
    <t>Bev</t>
  </si>
  <si>
    <t>Banana</t>
  </si>
  <si>
    <t>Oatmeal</t>
  </si>
  <si>
    <t>Cherries raw</t>
  </si>
  <si>
    <t>Grapefruit</t>
  </si>
  <si>
    <t>Snack</t>
  </si>
  <si>
    <t>Burdock root raw</t>
  </si>
  <si>
    <t>Celery</t>
  </si>
  <si>
    <t>Cabbage red</t>
  </si>
  <si>
    <t>Beans navy</t>
  </si>
  <si>
    <t>Almond milk chocolate</t>
  </si>
  <si>
    <t>Cheese parmesan</t>
  </si>
  <si>
    <t>Cheese mozzarella</t>
  </si>
  <si>
    <t>Cheese ricotta</t>
  </si>
  <si>
    <t>Chicken breast baked</t>
  </si>
  <si>
    <t>Chicken breast roasted</t>
  </si>
  <si>
    <t>Cornish game hen</t>
  </si>
  <si>
    <t>Corn dog</t>
  </si>
  <si>
    <t>Fish Atlantic cod</t>
  </si>
  <si>
    <t>Fish tuna light</t>
  </si>
  <si>
    <t>Ginger root</t>
  </si>
  <si>
    <t>Hot Dog beef</t>
  </si>
  <si>
    <t>Kale</t>
  </si>
  <si>
    <t>Malted drink mix</t>
  </si>
  <si>
    <t>Nuts pistachio</t>
  </si>
  <si>
    <t>Onions yellow</t>
  </si>
  <si>
    <t>Kohlrabi</t>
  </si>
  <si>
    <t>Spinach baby</t>
  </si>
  <si>
    <t>Strawberries</t>
  </si>
  <si>
    <t>Soup stock beef</t>
  </si>
  <si>
    <t>Soup stock chicken</t>
  </si>
  <si>
    <t>Ingred</t>
  </si>
  <si>
    <t>Carrots fresh cooked</t>
  </si>
  <si>
    <t>veg</t>
  </si>
  <si>
    <t>Chicken soup homemade</t>
  </si>
  <si>
    <t>total nutrients</t>
  </si>
  <si>
    <t>1 lb = 450 g</t>
  </si>
  <si>
    <t>grams</t>
  </si>
  <si>
    <t>amt</t>
  </si>
  <si>
    <t>totals</t>
  </si>
  <si>
    <t>1 serving</t>
  </si>
  <si>
    <t>Beef pasta hotdish</t>
  </si>
  <si>
    <t>1 lb</t>
  </si>
  <si>
    <t>Taco shells corn</t>
  </si>
  <si>
    <t>2 shells</t>
  </si>
  <si>
    <t>Peppers, jalapeno, raw</t>
  </si>
  <si>
    <t>Salsa</t>
  </si>
  <si>
    <t>1/16 cup</t>
  </si>
  <si>
    <t>Sour cream</t>
  </si>
  <si>
    <t>Lettuce iceberg crisphead</t>
  </si>
  <si>
    <t>Tacos</t>
  </si>
  <si>
    <t>2 tacos</t>
  </si>
  <si>
    <t>Lasagna</t>
  </si>
  <si>
    <t>1 piece</t>
  </si>
  <si>
    <t>Leeks bulb and lower leaf-portion</t>
  </si>
  <si>
    <t>Lentils boiled</t>
  </si>
  <si>
    <t>Lettuce romaine</t>
  </si>
  <si>
    <t>bunch</t>
  </si>
  <si>
    <t>Lime juice</t>
  </si>
  <si>
    <t>Cabbage green</t>
  </si>
  <si>
    <t>Hamburger</t>
  </si>
  <si>
    <t>.25 lb</t>
  </si>
  <si>
    <t>Waldorf Salad</t>
  </si>
  <si>
    <t>Side 1</t>
  </si>
  <si>
    <t>Side 2</t>
  </si>
  <si>
    <t>.5 tsp</t>
  </si>
  <si>
    <t>.25cup</t>
  </si>
  <si>
    <t>Beef Soup homemade</t>
  </si>
  <si>
    <t>apple</t>
  </si>
  <si>
    <t>01/8 cup</t>
  </si>
  <si>
    <t>banana</t>
  </si>
  <si>
    <t xml:space="preserve"> 1/8th</t>
  </si>
  <si>
    <t>walnuts</t>
  </si>
  <si>
    <t>Mandarin oranges</t>
  </si>
  <si>
    <t>.3 can</t>
  </si>
  <si>
    <t>miracle whip</t>
  </si>
  <si>
    <t>Cream, whipped</t>
  </si>
  <si>
    <t>100g</t>
  </si>
  <si>
    <t>Waldorf</t>
  </si>
  <si>
    <t>Lettuce</t>
  </si>
  <si>
    <t>Type</t>
  </si>
  <si>
    <t xml:space="preserve"> 1 = G/V//F/S/B
 2 - V/F/B/S
 3 = G/F/B/S
 4 = F/B/S</t>
  </si>
  <si>
    <t>n</t>
  </si>
  <si>
    <t>896..88</t>
  </si>
  <si>
    <t>Waterchestnuts</t>
  </si>
  <si>
    <t>Lettuce salad</t>
  </si>
  <si>
    <t>Potato Salad</t>
  </si>
  <si>
    <t>Fig Newton</t>
  </si>
  <si>
    <t>2 cookies</t>
  </si>
  <si>
    <t>Miracle Whip</t>
  </si>
  <si>
    <t>Olives green</t>
  </si>
  <si>
    <t>1 olive</t>
  </si>
  <si>
    <t>1 lb = 450 g
1 g = 1,000 mg</t>
  </si>
  <si>
    <t xml:space="preserve">Avocados raw </t>
  </si>
  <si>
    <t>tacos</t>
  </si>
  <si>
    <t>Beef Pasta hotdish</t>
  </si>
  <si>
    <t>chicken soup</t>
  </si>
  <si>
    <t>chili</t>
  </si>
  <si>
    <t>lasagna</t>
  </si>
  <si>
    <t>tater tot hotdish</t>
  </si>
  <si>
    <t>beef soup</t>
  </si>
  <si>
    <t>brownies with frosting</t>
  </si>
  <si>
    <t>Egg raw</t>
  </si>
  <si>
    <t>1 egg</t>
  </si>
  <si>
    <t>Sugar, white</t>
  </si>
  <si>
    <t>Cocoa powder</t>
  </si>
  <si>
    <t>Butter</t>
  </si>
  <si>
    <t>.88 stick</t>
  </si>
  <si>
    <t>frosting</t>
  </si>
  <si>
    <t>2T</t>
  </si>
  <si>
    <t>Totals</t>
  </si>
  <si>
    <t>Per serving (15)</t>
  </si>
  <si>
    <t>Brownies, frosted</t>
  </si>
  <si>
    <t>Coffee black brewed</t>
  </si>
  <si>
    <t>Thiamin B1</t>
  </si>
  <si>
    <t>Riboflavin B2</t>
  </si>
  <si>
    <t>Niacin B3</t>
  </si>
  <si>
    <t>Pantothenic acid B5</t>
  </si>
  <si>
    <t>Pyridoxine B-6</t>
  </si>
  <si>
    <t>Cyanocobolomine B-12</t>
  </si>
  <si>
    <t>Biotin B7</t>
  </si>
  <si>
    <t>REESES Peanut Butter Cups</t>
  </si>
  <si>
    <t>Food</t>
  </si>
  <si>
    <t>Amount</t>
  </si>
  <si>
    <t>Tbsp</t>
  </si>
  <si>
    <t>med</t>
  </si>
  <si>
    <t>bar</t>
  </si>
  <si>
    <t>lb</t>
  </si>
  <si>
    <t>serving</t>
  </si>
  <si>
    <t>stick</t>
  </si>
  <si>
    <t>T</t>
  </si>
  <si>
    <t>gm</t>
  </si>
  <si>
    <t>can</t>
  </si>
  <si>
    <t>hen</t>
  </si>
  <si>
    <t>lg</t>
  </si>
  <si>
    <t>yolk</t>
  </si>
  <si>
    <t>egg</t>
  </si>
  <si>
    <t>cookies</t>
  </si>
  <si>
    <t>clove</t>
  </si>
  <si>
    <t>tsp</t>
  </si>
  <si>
    <t>bowl</t>
  </si>
  <si>
    <t>piece</t>
  </si>
  <si>
    <t>bag</t>
  </si>
  <si>
    <t>pieces</t>
  </si>
  <si>
    <t>olive</t>
  </si>
  <si>
    <t>cups</t>
  </si>
  <si>
    <t>shells</t>
  </si>
  <si>
    <t>tots</t>
  </si>
  <si>
    <t>1/16</t>
  </si>
  <si>
    <t>unit</t>
  </si>
</sst>
</file>

<file path=xl/styles.xml><?xml version="1.0" encoding="utf-8"?>
<styleSheet xmlns="http://schemas.openxmlformats.org/spreadsheetml/2006/main">
  <numFmts count="1">
    <numFmt numFmtId="164" formatCode="0.000"/>
  </numFmts>
  <fonts count="13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color indexed="8"/>
      <name val="Arial"/>
    </font>
    <font>
      <sz val="10"/>
      <name val="MS Sans Serif"/>
    </font>
    <font>
      <sz val="12"/>
      <color rgb="FF000000"/>
      <name val="Calibri"/>
      <family val="2"/>
    </font>
    <font>
      <sz val="12"/>
      <name val="Calibri"/>
      <family val="2"/>
    </font>
    <font>
      <i/>
      <sz val="12"/>
      <name val="Calibri"/>
      <family val="2"/>
    </font>
    <font>
      <b/>
      <sz val="12"/>
      <name val="Calibri"/>
      <family val="2"/>
    </font>
    <font>
      <sz val="12"/>
      <color indexed="8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/>
      <diagonal/>
    </border>
    <border>
      <left style="thin">
        <color rgb="FFD0D7E5"/>
      </left>
      <right/>
      <top/>
      <bottom/>
      <diagonal/>
    </border>
    <border>
      <left/>
      <right style="thin">
        <color rgb="FFD0D7E5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9" fontId="6" fillId="0" borderId="0" applyFont="0" applyFill="0" applyBorder="0" applyAlignment="0" applyProtection="0"/>
  </cellStyleXfs>
  <cellXfs count="18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2" xfId="0" applyFont="1" applyFill="1" applyBorder="1" applyAlignment="1" applyProtection="1">
      <alignment horizontal="right" vertical="center" wrapText="1"/>
    </xf>
    <xf numFmtId="0" fontId="3" fillId="0" borderId="2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vertical="center" wrapText="1"/>
    </xf>
    <xf numFmtId="0" fontId="3" fillId="0" borderId="3" xfId="0" applyFont="1" applyFill="1" applyBorder="1" applyAlignment="1" applyProtection="1">
      <alignment horizontal="right" vertical="center" wrapText="1"/>
    </xf>
    <xf numFmtId="0" fontId="3" fillId="0" borderId="0" xfId="0" applyFont="1" applyFill="1" applyBorder="1" applyAlignment="1" applyProtection="1">
      <alignment horizontal="right" vertical="center" wrapText="1"/>
    </xf>
    <xf numFmtId="0" fontId="3" fillId="0" borderId="0" xfId="0" applyFont="1" applyFill="1" applyBorder="1" applyAlignment="1" applyProtection="1">
      <alignment vertical="center" wrapText="1"/>
    </xf>
    <xf numFmtId="0" fontId="4" fillId="0" borderId="0" xfId="0" applyFont="1" applyFill="1" applyBorder="1" applyAlignment="1" applyProtection="1">
      <alignment horizontal="right" vertical="center" wrapText="1"/>
    </xf>
    <xf numFmtId="0" fontId="4" fillId="0" borderId="0" xfId="0" applyFont="1" applyFill="1" applyBorder="1" applyAlignment="1" applyProtection="1">
      <alignment vertical="center" wrapText="1"/>
    </xf>
    <xf numFmtId="0" fontId="4" fillId="0" borderId="3" xfId="0" applyFont="1" applyFill="1" applyBorder="1" applyAlignment="1" applyProtection="1">
      <alignment vertical="center" wrapText="1"/>
    </xf>
    <xf numFmtId="0" fontId="0" fillId="0" borderId="2" xfId="0" applyBorder="1"/>
    <xf numFmtId="0" fontId="3" fillId="0" borderId="0" xfId="0" applyFont="1" applyFill="1" applyAlignment="1" applyProtection="1">
      <alignment horizontal="right" vertical="center" wrapText="1"/>
    </xf>
    <xf numFmtId="0" fontId="3" fillId="0" borderId="0" xfId="0" applyFont="1" applyFill="1" applyAlignment="1" applyProtection="1">
      <alignment vertical="center" wrapText="1"/>
    </xf>
    <xf numFmtId="0" fontId="0" fillId="0" borderId="4" xfId="0" applyBorder="1"/>
    <xf numFmtId="0" fontId="4" fillId="0" borderId="0" xfId="0" applyFont="1" applyFill="1" applyAlignment="1" applyProtection="1">
      <alignment vertical="center" wrapText="1"/>
    </xf>
    <xf numFmtId="0" fontId="0" fillId="0" borderId="3" xfId="0" applyBorder="1"/>
    <xf numFmtId="0" fontId="4" fillId="0" borderId="3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horizontal="right" vertical="center" wrapText="1"/>
    </xf>
    <xf numFmtId="0" fontId="4" fillId="0" borderId="2" xfId="0" applyFont="1" applyFill="1" applyBorder="1" applyAlignment="1" applyProtection="1">
      <alignment vertical="center" wrapText="1"/>
    </xf>
    <xf numFmtId="0" fontId="0" fillId="0" borderId="5" xfId="0" applyBorder="1"/>
    <xf numFmtId="0" fontId="0" fillId="0" borderId="4" xfId="0" applyFill="1" applyBorder="1"/>
    <xf numFmtId="0" fontId="0" fillId="0" borderId="2" xfId="0" applyFill="1" applyBorder="1"/>
    <xf numFmtId="0" fontId="0" fillId="0" borderId="0" xfId="0" applyBorder="1"/>
    <xf numFmtId="0" fontId="4" fillId="0" borderId="0" xfId="0" applyFont="1" applyFill="1" applyAlignment="1" applyProtection="1">
      <alignment horizontal="right" vertical="center" wrapText="1"/>
    </xf>
    <xf numFmtId="0" fontId="0" fillId="0" borderId="0" xfId="0" applyFill="1" applyBorder="1"/>
    <xf numFmtId="0" fontId="3" fillId="0" borderId="2" xfId="0" applyFont="1" applyFill="1" applyBorder="1" applyAlignment="1" applyProtection="1">
      <alignment horizontal="left" vertical="center" wrapText="1"/>
    </xf>
    <xf numFmtId="0" fontId="0" fillId="0" borderId="0" xfId="0" applyAlignment="1">
      <alignment horizontal="left"/>
    </xf>
    <xf numFmtId="0" fontId="3" fillId="0" borderId="0" xfId="0" applyFont="1" applyFill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Fill="1"/>
    <xf numFmtId="0" fontId="0" fillId="0" borderId="3" xfId="0" applyFill="1" applyBorder="1"/>
    <xf numFmtId="0" fontId="3" fillId="0" borderId="5" xfId="0" applyFont="1" applyFill="1" applyBorder="1" applyAlignment="1" applyProtection="1">
      <alignment horizontal="right" vertical="center" wrapText="1"/>
    </xf>
    <xf numFmtId="2" fontId="0" fillId="0" borderId="0" xfId="0" applyNumberFormat="1"/>
    <xf numFmtId="0" fontId="1" fillId="0" borderId="0" xfId="0" applyFont="1" applyAlignment="1">
      <alignment horizontal="center" wrapText="1"/>
    </xf>
    <xf numFmtId="0" fontId="0" fillId="0" borderId="5" xfId="0" applyFill="1" applyBorder="1"/>
    <xf numFmtId="2" fontId="0" fillId="0" borderId="0" xfId="0" applyNumberFormat="1" applyFill="1" applyBorder="1"/>
    <xf numFmtId="0" fontId="1" fillId="0" borderId="0" xfId="0" applyFont="1"/>
    <xf numFmtId="9" fontId="1" fillId="0" borderId="0" xfId="2" applyFont="1"/>
    <xf numFmtId="0" fontId="2" fillId="0" borderId="0" xfId="0" applyFont="1"/>
    <xf numFmtId="164" fontId="0" fillId="0" borderId="0" xfId="0" applyNumberFormat="1"/>
    <xf numFmtId="0" fontId="0" fillId="0" borderId="3" xfId="0" applyBorder="1" applyAlignment="1">
      <alignment horizontal="left"/>
    </xf>
    <xf numFmtId="2" fontId="8" fillId="0" borderId="0" xfId="0" applyNumberFormat="1" applyFont="1"/>
    <xf numFmtId="2" fontId="8" fillId="0" borderId="0" xfId="0" applyNumberFormat="1" applyFont="1" applyBorder="1"/>
    <xf numFmtId="2" fontId="8" fillId="0" borderId="0" xfId="0" applyNumberFormat="1" applyFont="1" applyFill="1" applyBorder="1"/>
    <xf numFmtId="2" fontId="8" fillId="0" borderId="0" xfId="0" applyNumberFormat="1" applyFont="1" applyBorder="1" applyAlignment="1">
      <alignment horizontal="left" vertical="center"/>
    </xf>
    <xf numFmtId="2" fontId="8" fillId="0" borderId="0" xfId="0" applyNumberFormat="1" applyFont="1" applyBorder="1" applyAlignment="1">
      <alignment horizontal="left" vertical="center" wrapText="1"/>
    </xf>
    <xf numFmtId="2" fontId="8" fillId="0" borderId="0" xfId="0" applyNumberFormat="1" applyFont="1" applyAlignment="1">
      <alignment vertical="center" wrapText="1"/>
    </xf>
    <xf numFmtId="2" fontId="8" fillId="0" borderId="0" xfId="0" applyNumberFormat="1" applyFont="1" applyAlignment="1">
      <alignment horizontal="left"/>
    </xf>
    <xf numFmtId="2" fontId="10" fillId="0" borderId="0" xfId="0" applyNumberFormat="1" applyFont="1" applyAlignment="1">
      <alignment horizontal="center" wrapText="1"/>
    </xf>
    <xf numFmtId="2" fontId="8" fillId="0" borderId="0" xfId="0" applyNumberFormat="1" applyFont="1" applyAlignment="1"/>
    <xf numFmtId="2" fontId="8" fillId="0" borderId="1" xfId="0" applyNumberFormat="1" applyFont="1" applyBorder="1" applyAlignment="1"/>
    <xf numFmtId="2" fontId="8" fillId="0" borderId="1" xfId="0" applyNumberFormat="1" applyFont="1" applyBorder="1" applyAlignment="1">
      <alignment horizontal="left"/>
    </xf>
    <xf numFmtId="2" fontId="8" fillId="0" borderId="1" xfId="0" applyNumberFormat="1" applyFont="1" applyBorder="1"/>
    <xf numFmtId="2" fontId="7" fillId="0" borderId="0" xfId="0" applyNumberFormat="1" applyFont="1" applyFill="1" applyBorder="1" applyAlignment="1" applyProtection="1">
      <alignment horizontal="right" vertical="center" wrapText="1"/>
    </xf>
    <xf numFmtId="2" fontId="7" fillId="0" borderId="0" xfId="0" applyNumberFormat="1" applyFont="1" applyFill="1" applyBorder="1" applyAlignment="1" applyProtection="1">
      <alignment vertical="center" wrapText="1"/>
    </xf>
    <xf numFmtId="2" fontId="7" fillId="0" borderId="0" xfId="0" applyNumberFormat="1" applyFont="1" applyFill="1" applyBorder="1" applyAlignment="1" applyProtection="1">
      <alignment horizontal="left" vertical="center" wrapText="1"/>
    </xf>
    <xf numFmtId="2" fontId="11" fillId="0" borderId="0" xfId="1" applyNumberFormat="1" applyFont="1" applyFill="1" applyBorder="1" applyAlignment="1">
      <alignment horizontal="right" wrapText="1"/>
    </xf>
    <xf numFmtId="2" fontId="7" fillId="0" borderId="0" xfId="0" applyNumberFormat="1" applyFont="1" applyFill="1" applyAlignment="1" applyProtection="1">
      <alignment horizontal="left" vertical="center" wrapText="1"/>
    </xf>
    <xf numFmtId="2" fontId="7" fillId="0" borderId="0" xfId="0" applyNumberFormat="1" applyFont="1" applyFill="1" applyAlignment="1" applyProtection="1">
      <alignment vertical="center" wrapText="1"/>
    </xf>
    <xf numFmtId="2" fontId="8" fillId="0" borderId="0" xfId="0" applyNumberFormat="1" applyFont="1" applyFill="1"/>
    <xf numFmtId="2" fontId="7" fillId="0" borderId="0" xfId="0" applyNumberFormat="1" applyFont="1" applyFill="1" applyAlignment="1" applyProtection="1">
      <alignment horizontal="right" vertical="center" wrapText="1"/>
    </xf>
    <xf numFmtId="2" fontId="8" fillId="0" borderId="2" xfId="0" applyNumberFormat="1" applyFont="1" applyBorder="1"/>
    <xf numFmtId="2" fontId="7" fillId="0" borderId="2" xfId="0" applyNumberFormat="1" applyFont="1" applyFill="1" applyBorder="1" applyAlignment="1" applyProtection="1">
      <alignment horizontal="right" vertical="center" wrapText="1"/>
    </xf>
    <xf numFmtId="2" fontId="8" fillId="0" borderId="3" xfId="0" applyNumberFormat="1" applyFont="1" applyBorder="1"/>
    <xf numFmtId="2" fontId="7" fillId="0" borderId="3" xfId="0" applyNumberFormat="1" applyFont="1" applyFill="1" applyBorder="1" applyAlignment="1" applyProtection="1">
      <alignment horizontal="right" vertical="center" wrapText="1"/>
    </xf>
    <xf numFmtId="2" fontId="7" fillId="0" borderId="2" xfId="0" applyNumberFormat="1" applyFont="1" applyFill="1" applyBorder="1" applyAlignment="1" applyProtection="1">
      <alignment vertical="center" wrapText="1"/>
    </xf>
    <xf numFmtId="2" fontId="8" fillId="0" borderId="2" xfId="0" applyNumberFormat="1" applyFont="1" applyFill="1" applyBorder="1"/>
    <xf numFmtId="2" fontId="7" fillId="0" borderId="5" xfId="0" applyNumberFormat="1" applyFont="1" applyFill="1" applyBorder="1" applyAlignment="1" applyProtection="1">
      <alignment horizontal="right" vertical="center" wrapText="1"/>
    </xf>
    <xf numFmtId="2" fontId="7" fillId="0" borderId="3" xfId="0" applyNumberFormat="1" applyFont="1" applyFill="1" applyBorder="1" applyAlignment="1" applyProtection="1">
      <alignment vertical="center" wrapText="1"/>
    </xf>
    <xf numFmtId="2" fontId="7" fillId="0" borderId="0" xfId="0" applyNumberFormat="1" applyFont="1" applyFill="1" applyAlignment="1" applyProtection="1">
      <alignment horizontal="center" vertical="center"/>
    </xf>
    <xf numFmtId="2" fontId="7" fillId="0" borderId="6" xfId="0" applyNumberFormat="1" applyFont="1" applyFill="1" applyBorder="1" applyAlignment="1" applyProtection="1">
      <alignment vertical="center" wrapText="1"/>
    </xf>
    <xf numFmtId="2" fontId="7" fillId="0" borderId="6" xfId="0" applyNumberFormat="1" applyFont="1" applyFill="1" applyBorder="1" applyAlignment="1" applyProtection="1">
      <alignment horizontal="right" vertical="center" wrapText="1"/>
    </xf>
    <xf numFmtId="2" fontId="7" fillId="0" borderId="7" xfId="0" applyNumberFormat="1" applyFont="1" applyFill="1" applyBorder="1" applyAlignment="1" applyProtection="1">
      <alignment horizontal="right" vertical="center" wrapText="1"/>
    </xf>
    <xf numFmtId="2" fontId="8" fillId="0" borderId="7" xfId="0" applyNumberFormat="1" applyFont="1" applyBorder="1"/>
    <xf numFmtId="2" fontId="8" fillId="0" borderId="7" xfId="0" applyNumberFormat="1" applyFont="1" applyBorder="1" applyAlignment="1">
      <alignment horizontal="left"/>
    </xf>
    <xf numFmtId="2" fontId="8" fillId="0" borderId="6" xfId="0" applyNumberFormat="1" applyFont="1" applyBorder="1"/>
    <xf numFmtId="2" fontId="8" fillId="0" borderId="3" xfId="0" applyNumberFormat="1" applyFont="1" applyBorder="1" applyAlignment="1">
      <alignment horizontal="left"/>
    </xf>
    <xf numFmtId="2" fontId="8" fillId="0" borderId="3" xfId="0" applyNumberFormat="1" applyFont="1" applyFill="1" applyBorder="1"/>
    <xf numFmtId="2" fontId="7" fillId="0" borderId="3" xfId="0" applyNumberFormat="1" applyFont="1" applyFill="1" applyBorder="1" applyAlignment="1" applyProtection="1">
      <alignment horizontal="left" vertical="center" wrapText="1"/>
    </xf>
    <xf numFmtId="2" fontId="8" fillId="0" borderId="4" xfId="0" applyNumberFormat="1" applyFont="1" applyFill="1" applyBorder="1"/>
    <xf numFmtId="2" fontId="7" fillId="0" borderId="2" xfId="0" applyNumberFormat="1" applyFont="1" applyFill="1" applyBorder="1" applyAlignment="1" applyProtection="1">
      <alignment horizontal="left" vertical="center" wrapText="1"/>
    </xf>
    <xf numFmtId="2" fontId="8" fillId="0" borderId="0" xfId="0" applyNumberFormat="1" applyFont="1" applyBorder="1" applyAlignment="1">
      <alignment horizontal="left"/>
    </xf>
    <xf numFmtId="2" fontId="8" fillId="0" borderId="2" xfId="0" applyNumberFormat="1" applyFont="1" applyBorder="1" applyAlignment="1">
      <alignment horizontal="left"/>
    </xf>
    <xf numFmtId="2" fontId="8" fillId="0" borderId="5" xfId="0" applyNumberFormat="1" applyFont="1" applyBorder="1"/>
    <xf numFmtId="2" fontId="7" fillId="0" borderId="5" xfId="0" applyNumberFormat="1" applyFont="1" applyFill="1" applyBorder="1" applyAlignment="1" applyProtection="1">
      <alignment vertical="center" wrapText="1"/>
    </xf>
    <xf numFmtId="2" fontId="8" fillId="0" borderId="5" xfId="0" applyNumberFormat="1" applyFont="1" applyFill="1" applyBorder="1"/>
    <xf numFmtId="2" fontId="8" fillId="0" borderId="0" xfId="0" applyNumberFormat="1" applyFont="1" applyFill="1" applyBorder="1" applyAlignment="1">
      <alignment horizontal="left"/>
    </xf>
    <xf numFmtId="2" fontId="11" fillId="0" borderId="0" xfId="1" applyNumberFormat="1" applyFont="1" applyFill="1" applyBorder="1" applyAlignment="1">
      <alignment wrapText="1"/>
    </xf>
    <xf numFmtId="2" fontId="11" fillId="0" borderId="0" xfId="1" applyNumberFormat="1" applyFont="1" applyFill="1" applyBorder="1" applyAlignment="1">
      <alignment horizontal="left" wrapText="1"/>
    </xf>
    <xf numFmtId="2" fontId="9" fillId="2" borderId="0" xfId="0" applyNumberFormat="1" applyFont="1" applyFill="1" applyAlignment="1"/>
    <xf numFmtId="2" fontId="9" fillId="2" borderId="0" xfId="0" applyNumberFormat="1" applyFont="1" applyFill="1" applyAlignment="1">
      <alignment horizontal="left"/>
    </xf>
    <xf numFmtId="2" fontId="9" fillId="2" borderId="0" xfId="0" applyNumberFormat="1" applyFont="1" applyFill="1" applyAlignment="1">
      <alignment horizontal="center" wrapText="1"/>
    </xf>
    <xf numFmtId="1" fontId="8" fillId="2" borderId="0" xfId="0" applyNumberFormat="1" applyFont="1" applyFill="1" applyBorder="1" applyAlignment="1">
      <alignment vertical="center"/>
    </xf>
    <xf numFmtId="1" fontId="8" fillId="0" borderId="1" xfId="0" applyNumberFormat="1" applyFont="1" applyBorder="1" applyAlignment="1"/>
    <xf numFmtId="1" fontId="7" fillId="0" borderId="0" xfId="0" applyNumberFormat="1" applyFont="1" applyFill="1" applyBorder="1" applyAlignment="1" applyProtection="1">
      <alignment horizontal="right" vertical="center" wrapText="1"/>
    </xf>
    <xf numFmtId="1" fontId="8" fillId="0" borderId="0" xfId="0" applyNumberFormat="1" applyFont="1"/>
    <xf numFmtId="1" fontId="7" fillId="0" borderId="0" xfId="0" applyNumberFormat="1" applyFont="1" applyFill="1" applyAlignment="1" applyProtection="1">
      <alignment horizontal="right" vertical="center" wrapText="1"/>
    </xf>
    <xf numFmtId="1" fontId="8" fillId="0" borderId="2" xfId="0" applyNumberFormat="1" applyFont="1" applyBorder="1"/>
    <xf numFmtId="1" fontId="8" fillId="0" borderId="0" xfId="0" applyNumberFormat="1" applyFont="1" applyBorder="1"/>
    <xf numFmtId="1" fontId="8" fillId="0" borderId="3" xfId="0" applyNumberFormat="1" applyFont="1" applyBorder="1"/>
    <xf numFmtId="1" fontId="11" fillId="0" borderId="0" xfId="1" applyNumberFormat="1" applyFont="1" applyFill="1" applyBorder="1" applyAlignment="1">
      <alignment horizontal="right" wrapText="1"/>
    </xf>
    <xf numFmtId="1" fontId="9" fillId="2" borderId="0" xfId="0" applyNumberFormat="1" applyFont="1" applyFill="1" applyBorder="1" applyAlignment="1">
      <alignment vertical="center"/>
    </xf>
    <xf numFmtId="1" fontId="10" fillId="0" borderId="0" xfId="0" applyNumberFormat="1" applyFont="1" applyAlignment="1">
      <alignment horizontal="center" wrapText="1"/>
    </xf>
    <xf numFmtId="1" fontId="10" fillId="0" borderId="0" xfId="0" applyNumberFormat="1" applyFont="1" applyAlignment="1">
      <alignment vertical="center" wrapText="1"/>
    </xf>
    <xf numFmtId="1" fontId="8" fillId="0" borderId="0" xfId="0" applyNumberFormat="1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8" fillId="0" borderId="0" xfId="0" applyNumberFormat="1" applyFont="1" applyFill="1" applyBorder="1"/>
    <xf numFmtId="1" fontId="7" fillId="0" borderId="0" xfId="0" applyNumberFormat="1" applyFont="1" applyFill="1" applyAlignment="1" applyProtection="1">
      <alignment vertical="center" wrapText="1"/>
    </xf>
    <xf numFmtId="1" fontId="7" fillId="0" borderId="3" xfId="0" applyNumberFormat="1" applyFont="1" applyFill="1" applyBorder="1" applyAlignment="1" applyProtection="1">
      <alignment vertical="center" wrapText="1"/>
    </xf>
    <xf numFmtId="1" fontId="7" fillId="0" borderId="0" xfId="0" applyNumberFormat="1" applyFont="1" applyFill="1" applyBorder="1" applyAlignment="1" applyProtection="1">
      <alignment vertical="center" wrapText="1"/>
    </xf>
    <xf numFmtId="1" fontId="8" fillId="0" borderId="0" xfId="0" applyNumberFormat="1" applyFont="1" applyFill="1"/>
    <xf numFmtId="1" fontId="9" fillId="2" borderId="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Border="1" applyAlignment="1">
      <alignment vertical="center"/>
    </xf>
    <xf numFmtId="0" fontId="8" fillId="0" borderId="0" xfId="0" applyFont="1"/>
    <xf numFmtId="2" fontId="8" fillId="0" borderId="0" xfId="0" applyNumberFormat="1" applyFont="1" applyAlignment="1">
      <alignment horizontal="right"/>
    </xf>
    <xf numFmtId="0" fontId="0" fillId="0" borderId="8" xfId="0" applyBorder="1"/>
    <xf numFmtId="2" fontId="0" fillId="0" borderId="8" xfId="0" applyNumberFormat="1" applyBorder="1"/>
    <xf numFmtId="2" fontId="10" fillId="2" borderId="0" xfId="0" applyNumberFormat="1" applyFont="1" applyFill="1" applyAlignment="1">
      <alignment horizontal="center" wrapText="1"/>
    </xf>
    <xf numFmtId="2" fontId="8" fillId="0" borderId="0" xfId="0" applyNumberFormat="1" applyFont="1" applyFill="1" applyAlignment="1">
      <alignment horizontal="left"/>
    </xf>
    <xf numFmtId="2" fontId="0" fillId="0" borderId="5" xfId="0" applyNumberFormat="1" applyBorder="1"/>
    <xf numFmtId="2" fontId="3" fillId="0" borderId="5" xfId="0" applyNumberFormat="1" applyFont="1" applyFill="1" applyBorder="1" applyAlignment="1" applyProtection="1">
      <alignment horizontal="right" vertical="center" wrapText="1"/>
    </xf>
    <xf numFmtId="2" fontId="3" fillId="0" borderId="2" xfId="0" applyNumberFormat="1" applyFont="1" applyFill="1" applyBorder="1" applyAlignment="1" applyProtection="1">
      <alignment horizontal="right" vertical="center" wrapText="1"/>
    </xf>
    <xf numFmtId="2" fontId="0" fillId="0" borderId="2" xfId="0" applyNumberFormat="1" applyBorder="1"/>
    <xf numFmtId="1" fontId="12" fillId="0" borderId="0" xfId="0" applyNumberFormat="1" applyFont="1" applyBorder="1" applyAlignment="1">
      <alignment horizontal="left" wrapText="1"/>
    </xf>
    <xf numFmtId="1" fontId="7" fillId="0" borderId="0" xfId="0" applyNumberFormat="1" applyFont="1" applyFill="1" applyAlignment="1" applyProtection="1">
      <alignment horizontal="right" wrapText="1"/>
    </xf>
    <xf numFmtId="1" fontId="7" fillId="0" borderId="0" xfId="0" applyNumberFormat="1" applyFont="1" applyFill="1" applyBorder="1" applyAlignment="1" applyProtection="1">
      <alignment horizontal="right" wrapText="1"/>
    </xf>
    <xf numFmtId="1" fontId="8" fillId="0" borderId="0" xfId="0" applyNumberFormat="1" applyFont="1" applyBorder="1" applyAlignment="1">
      <alignment horizontal="right"/>
    </xf>
    <xf numFmtId="1" fontId="8" fillId="2" borderId="0" xfId="0" applyNumberFormat="1" applyFont="1" applyFill="1" applyBorder="1" applyAlignment="1">
      <alignment horizontal="right"/>
    </xf>
    <xf numFmtId="1" fontId="8" fillId="0" borderId="1" xfId="0" applyNumberFormat="1" applyFont="1" applyBorder="1" applyAlignment="1">
      <alignment horizontal="right"/>
    </xf>
    <xf numFmtId="1" fontId="8" fillId="0" borderId="0" xfId="0" applyNumberFormat="1" applyFont="1" applyAlignment="1">
      <alignment horizontal="right"/>
    </xf>
    <xf numFmtId="0" fontId="8" fillId="0" borderId="0" xfId="0" applyFont="1" applyAlignment="1">
      <alignment horizontal="right"/>
    </xf>
    <xf numFmtId="1" fontId="9" fillId="2" borderId="0" xfId="0" applyNumberFormat="1" applyFont="1" applyFill="1" applyBorder="1" applyAlignment="1">
      <alignment horizontal="right"/>
    </xf>
    <xf numFmtId="1" fontId="10" fillId="0" borderId="0" xfId="0" applyNumberFormat="1" applyFont="1" applyAlignment="1">
      <alignment horizontal="right" wrapText="1"/>
    </xf>
    <xf numFmtId="2" fontId="8" fillId="0" borderId="0" xfId="0" applyNumberFormat="1" applyFont="1" applyFill="1" applyAlignment="1">
      <alignment vertical="center" wrapText="1"/>
    </xf>
    <xf numFmtId="2" fontId="10" fillId="0" borderId="0" xfId="0" applyNumberFormat="1" applyFont="1" applyFill="1" applyAlignment="1">
      <alignment horizontal="center" wrapText="1"/>
    </xf>
    <xf numFmtId="2" fontId="8" fillId="0" borderId="1" xfId="0" applyNumberFormat="1" applyFont="1" applyFill="1" applyBorder="1"/>
    <xf numFmtId="0" fontId="8" fillId="0" borderId="0" xfId="0" applyFont="1" applyFill="1"/>
    <xf numFmtId="2" fontId="0" fillId="0" borderId="0" xfId="0" applyNumberFormat="1" applyFill="1"/>
    <xf numFmtId="2" fontId="8" fillId="0" borderId="0" xfId="0" applyNumberFormat="1" applyFont="1" applyFill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2" xfId="0" applyNumberFormat="1" applyFont="1" applyBorder="1" applyAlignment="1">
      <alignment horizontal="right"/>
    </xf>
    <xf numFmtId="2" fontId="8" fillId="0" borderId="0" xfId="0" applyNumberFormat="1" applyFont="1" applyBorder="1" applyAlignment="1">
      <alignment horizontal="right"/>
    </xf>
    <xf numFmtId="2" fontId="8" fillId="0" borderId="5" xfId="0" applyNumberFormat="1" applyFont="1" applyFill="1" applyBorder="1" applyAlignment="1">
      <alignment horizontal="right"/>
    </xf>
    <xf numFmtId="2" fontId="8" fillId="0" borderId="3" xfId="0" applyNumberFormat="1" applyFont="1" applyFill="1" applyBorder="1" applyAlignment="1">
      <alignment horizontal="right"/>
    </xf>
    <xf numFmtId="2" fontId="8" fillId="0" borderId="5" xfId="0" applyNumberFormat="1" applyFont="1" applyBorder="1" applyAlignment="1">
      <alignment horizontal="right"/>
    </xf>
    <xf numFmtId="2" fontId="8" fillId="0" borderId="3" xfId="0" applyNumberFormat="1" applyFont="1" applyBorder="1" applyAlignment="1">
      <alignment horizontal="right"/>
    </xf>
    <xf numFmtId="2" fontId="8" fillId="3" borderId="0" xfId="0" applyNumberFormat="1" applyFont="1" applyFill="1" applyAlignment="1">
      <alignment horizontal="right"/>
    </xf>
    <xf numFmtId="2" fontId="0" fillId="0" borderId="0" xfId="0" applyNumberFormat="1" applyAlignment="1">
      <alignment horizontal="right"/>
    </xf>
    <xf numFmtId="2" fontId="0" fillId="3" borderId="0" xfId="0" applyNumberFormat="1" applyFill="1" applyAlignment="1">
      <alignment horizontal="right"/>
    </xf>
    <xf numFmtId="2" fontId="7" fillId="0" borderId="0" xfId="0" applyNumberFormat="1" applyFont="1" applyFill="1" applyBorder="1" applyAlignment="1" applyProtection="1">
      <alignment horizontal="right" vertical="center"/>
    </xf>
    <xf numFmtId="1" fontId="8" fillId="0" borderId="0" xfId="0" applyNumberFormat="1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" fontId="7" fillId="0" borderId="7" xfId="0" applyNumberFormat="1" applyFont="1" applyFill="1" applyBorder="1" applyAlignment="1" applyProtection="1">
      <alignment horizontal="right" vertical="center" wrapText="1"/>
    </xf>
    <xf numFmtId="1" fontId="7" fillId="0" borderId="3" xfId="0" applyNumberFormat="1" applyFont="1" applyFill="1" applyBorder="1" applyAlignment="1" applyProtection="1">
      <alignment horizontal="right" vertical="center" wrapText="1"/>
    </xf>
    <xf numFmtId="0" fontId="8" fillId="0" borderId="2" xfId="0" applyFont="1" applyBorder="1"/>
    <xf numFmtId="0" fontId="8" fillId="0" borderId="0" xfId="0" applyFont="1" applyBorder="1"/>
    <xf numFmtId="2" fontId="7" fillId="0" borderId="7" xfId="0" applyNumberFormat="1" applyFont="1" applyFill="1" applyBorder="1" applyAlignment="1" applyProtection="1">
      <alignment vertical="center" wrapText="1"/>
    </xf>
    <xf numFmtId="2" fontId="7" fillId="0" borderId="7" xfId="0" applyNumberFormat="1" applyFont="1" applyFill="1" applyBorder="1" applyAlignment="1" applyProtection="1">
      <alignment horizontal="left" vertical="center" wrapText="1"/>
    </xf>
    <xf numFmtId="0" fontId="8" fillId="0" borderId="3" xfId="0" applyFont="1" applyBorder="1"/>
    <xf numFmtId="2" fontId="8" fillId="0" borderId="2" xfId="0" applyNumberFormat="1" applyFont="1" applyFill="1" applyBorder="1" applyAlignment="1">
      <alignment horizontal="right"/>
    </xf>
    <xf numFmtId="2" fontId="0" fillId="0" borderId="0" xfId="0" applyNumberFormat="1" applyBorder="1" applyAlignment="1">
      <alignment horizontal="right"/>
    </xf>
    <xf numFmtId="2" fontId="7" fillId="0" borderId="4" xfId="0" applyNumberFormat="1" applyFont="1" applyFill="1" applyBorder="1" applyAlignment="1" applyProtection="1">
      <alignment horizontal="right" vertical="center" wrapText="1"/>
    </xf>
    <xf numFmtId="2" fontId="7" fillId="0" borderId="4" xfId="0" applyNumberFormat="1" applyFont="1" applyFill="1" applyBorder="1" applyAlignment="1" applyProtection="1">
      <alignment vertical="center" wrapText="1"/>
    </xf>
    <xf numFmtId="2" fontId="8" fillId="0" borderId="0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 wrapText="1"/>
    </xf>
    <xf numFmtId="0" fontId="8" fillId="0" borderId="0" xfId="0" applyNumberFormat="1" applyFont="1" applyAlignment="1">
      <alignment horizontal="left"/>
    </xf>
    <xf numFmtId="0" fontId="8" fillId="0" borderId="1" xfId="0" applyNumberFormat="1" applyFont="1" applyBorder="1" applyAlignment="1">
      <alignment horizontal="left"/>
    </xf>
    <xf numFmtId="0" fontId="7" fillId="0" borderId="0" xfId="0" applyNumberFormat="1" applyFont="1" applyFill="1" applyBorder="1" applyAlignment="1" applyProtection="1">
      <alignment horizontal="left" vertical="center" wrapText="1"/>
    </xf>
    <xf numFmtId="0" fontId="7" fillId="0" borderId="0" xfId="0" applyNumberFormat="1" applyFont="1" applyFill="1" applyAlignment="1" applyProtection="1">
      <alignment horizontal="left" vertical="center" wrapText="1"/>
    </xf>
    <xf numFmtId="0" fontId="7" fillId="0" borderId="7" xfId="0" applyNumberFormat="1" applyFont="1" applyFill="1" applyBorder="1" applyAlignment="1" applyProtection="1">
      <alignment horizontal="left" vertical="center" wrapText="1"/>
    </xf>
    <xf numFmtId="0" fontId="7" fillId="0" borderId="3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Border="1" applyAlignment="1">
      <alignment horizontal="left"/>
    </xf>
    <xf numFmtId="0" fontId="8" fillId="0" borderId="3" xfId="0" applyNumberFormat="1" applyFont="1" applyBorder="1"/>
    <xf numFmtId="0" fontId="8" fillId="0" borderId="0" xfId="0" applyNumberFormat="1" applyFont="1" applyFill="1" applyBorder="1" applyAlignment="1">
      <alignment horizontal="left"/>
    </xf>
    <xf numFmtId="0" fontId="8" fillId="0" borderId="0" xfId="0" applyNumberFormat="1" applyFont="1"/>
    <xf numFmtId="0" fontId="11" fillId="0" borderId="0" xfId="1" applyNumberFormat="1" applyFont="1" applyFill="1" applyBorder="1" applyAlignment="1">
      <alignment horizontal="left" wrapText="1"/>
    </xf>
    <xf numFmtId="0" fontId="0" fillId="0" borderId="0" xfId="0" applyNumberFormat="1"/>
    <xf numFmtId="49" fontId="7" fillId="0" borderId="0" xfId="0" applyNumberFormat="1" applyFont="1" applyFill="1" applyBorder="1" applyAlignment="1" applyProtection="1">
      <alignment horizontal="left" vertical="center" wrapText="1"/>
    </xf>
    <xf numFmtId="1" fontId="7" fillId="0" borderId="2" xfId="0" applyNumberFormat="1" applyFont="1" applyFill="1" applyBorder="1" applyAlignment="1" applyProtection="1">
      <alignment horizontal="right" vertical="center" wrapText="1"/>
    </xf>
  </cellXfs>
  <cellStyles count="3">
    <cellStyle name="Normal" xfId="0" builtinId="0"/>
    <cellStyle name="Normal_Sheet1" xfId="1"/>
    <cellStyle name="Percent" xfId="2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S561"/>
  <sheetViews>
    <sheetView topLeftCell="A28" workbookViewId="0">
      <selection activeCell="B28" sqref="B28"/>
    </sheetView>
  </sheetViews>
  <sheetFormatPr defaultColWidth="9.109375" defaultRowHeight="15" customHeight="1"/>
  <cols>
    <col min="1" max="1" width="11.88671875" style="98" bestFit="1" customWidth="1"/>
    <col min="2" max="2" width="11.88671875" style="132" customWidth="1"/>
    <col min="3" max="3" width="37.6640625" style="44" customWidth="1"/>
    <col min="4" max="4" width="9.109375" style="50"/>
    <col min="5" max="5" width="9.6640625" style="50" customWidth="1"/>
    <col min="6" max="6" width="9.6640625" style="98" customWidth="1"/>
    <col min="7" max="7" width="8.44140625" style="44" bestFit="1" customWidth="1"/>
    <col min="8" max="8" width="9.44140625" style="44" customWidth="1"/>
    <col min="9" max="9" width="8.5546875" style="50" customWidth="1"/>
    <col min="10" max="10" width="7" style="44" customWidth="1"/>
    <col min="11" max="11" width="9.6640625" style="44" customWidth="1"/>
    <col min="12" max="12" width="9.33203125" style="44" customWidth="1"/>
    <col min="13" max="13" width="6" style="44" customWidth="1"/>
    <col min="14" max="15" width="9.109375" style="44" customWidth="1"/>
    <col min="16" max="16" width="8.109375" style="44" customWidth="1"/>
    <col min="17" max="17" width="9.109375" style="44" customWidth="1"/>
    <col min="18" max="19" width="9.6640625" style="44" customWidth="1"/>
    <col min="20" max="20" width="8.109375" style="44" customWidth="1"/>
    <col min="21" max="22" width="9.109375" style="44" customWidth="1"/>
    <col min="23" max="23" width="10.109375" style="44" customWidth="1"/>
    <col min="24" max="24" width="9.109375" style="44" customWidth="1"/>
    <col min="25" max="25" width="8.44140625" style="44" customWidth="1"/>
    <col min="26" max="28" width="9.109375" style="44" customWidth="1"/>
    <col min="29" max="29" width="9.6640625" style="44" customWidth="1"/>
    <col min="30" max="30" width="9.109375" style="44" customWidth="1"/>
    <col min="31" max="31" width="9.6640625" style="44" customWidth="1"/>
    <col min="32" max="32" width="10" style="44" customWidth="1"/>
    <col min="33" max="34" width="9.109375" style="44" customWidth="1"/>
    <col min="35" max="35" width="8.33203125" style="44" customWidth="1"/>
    <col min="36" max="36" width="7.88671875" style="44" customWidth="1"/>
    <col min="37" max="37" width="9.109375" style="44" customWidth="1"/>
    <col min="38" max="38" width="9.5546875" style="44" customWidth="1"/>
    <col min="39" max="39" width="7.44140625" style="44" customWidth="1"/>
    <col min="40" max="40" width="6.109375" style="44" customWidth="1"/>
    <col min="41" max="41" width="7.6640625" style="44" customWidth="1"/>
    <col min="42" max="42" width="5.6640625" style="44" customWidth="1"/>
    <col min="43" max="43" width="6.6640625" style="44" customWidth="1"/>
    <col min="44" max="46" width="7" style="44" customWidth="1"/>
    <col min="47" max="47" width="9.6640625" style="44" customWidth="1"/>
    <col min="48" max="48" width="9.109375" style="44" customWidth="1"/>
    <col min="49" max="49" width="9.33203125" style="44" bestFit="1" customWidth="1"/>
    <col min="50" max="50" width="7.6640625" style="44" bestFit="1" customWidth="1"/>
    <col min="51" max="51" width="6.5546875" style="44" bestFit="1" customWidth="1"/>
    <col min="52" max="52" width="7.33203125" style="44" bestFit="1" customWidth="1"/>
    <col min="53" max="53" width="8.109375" style="44" customWidth="1"/>
    <col min="54" max="54" width="8" style="44" bestFit="1" customWidth="1"/>
    <col min="55" max="55" width="9.88671875" style="44" customWidth="1"/>
    <col min="56" max="56" width="6.109375" style="44" customWidth="1"/>
    <col min="57" max="57" width="7.109375" style="44" customWidth="1"/>
    <col min="58" max="58" width="7.88671875" style="44" customWidth="1"/>
    <col min="59" max="59" width="7.5546875" style="44" customWidth="1"/>
    <col min="60" max="60" width="255.6640625" style="44" bestFit="1" customWidth="1"/>
    <col min="61" max="16384" width="9.109375" style="44"/>
  </cols>
  <sheetData>
    <row r="1" spans="1:70" s="49" customFormat="1" ht="66.75" customHeight="1">
      <c r="A1" s="115" t="s">
        <v>0</v>
      </c>
      <c r="B1" s="126" t="s">
        <v>361</v>
      </c>
      <c r="C1" s="169" t="s">
        <v>77</v>
      </c>
      <c r="D1" s="47" t="s">
        <v>86</v>
      </c>
      <c r="E1" s="48" t="s">
        <v>76</v>
      </c>
      <c r="F1" s="106" t="s">
        <v>208</v>
      </c>
      <c r="G1" s="49" t="s">
        <v>11</v>
      </c>
      <c r="H1" s="49" t="s">
        <v>56</v>
      </c>
      <c r="I1" s="49" t="s">
        <v>248</v>
      </c>
      <c r="J1" s="49" t="s">
        <v>10</v>
      </c>
      <c r="K1" s="49" t="s">
        <v>73</v>
      </c>
      <c r="L1" s="49" t="s">
        <v>7</v>
      </c>
      <c r="M1" s="49" t="s">
        <v>21</v>
      </c>
      <c r="N1" s="49" t="s">
        <v>24</v>
      </c>
      <c r="O1" s="49" t="s">
        <v>20</v>
      </c>
      <c r="P1" s="49" t="s">
        <v>29</v>
      </c>
      <c r="Q1" s="49" t="s">
        <v>36</v>
      </c>
      <c r="R1" s="49" t="s">
        <v>13</v>
      </c>
      <c r="S1" s="49" t="s">
        <v>33</v>
      </c>
      <c r="T1" s="49" t="s">
        <v>14</v>
      </c>
      <c r="U1" s="49" t="s">
        <v>59</v>
      </c>
      <c r="V1" s="49" t="s">
        <v>52</v>
      </c>
      <c r="W1" s="49" t="s">
        <v>39</v>
      </c>
      <c r="X1" s="49" t="s">
        <v>16</v>
      </c>
      <c r="Y1" s="49" t="s">
        <v>31</v>
      </c>
      <c r="Z1" s="49" t="s">
        <v>17</v>
      </c>
      <c r="AA1" s="49" t="s">
        <v>60</v>
      </c>
      <c r="AB1" s="49" t="s">
        <v>5</v>
      </c>
      <c r="AC1" s="49" t="s">
        <v>394</v>
      </c>
      <c r="AD1" s="49" t="s">
        <v>395</v>
      </c>
      <c r="AE1" s="49" t="s">
        <v>396</v>
      </c>
      <c r="AF1" s="49" t="s">
        <v>397</v>
      </c>
      <c r="AG1" s="49" t="s">
        <v>398</v>
      </c>
      <c r="AH1" s="49" t="s">
        <v>400</v>
      </c>
      <c r="AI1" s="49" t="s">
        <v>399</v>
      </c>
      <c r="AJ1" s="49" t="s">
        <v>28</v>
      </c>
      <c r="AK1" s="49" t="s">
        <v>40</v>
      </c>
      <c r="AL1" s="49" t="s">
        <v>47</v>
      </c>
      <c r="AM1" s="49" t="s">
        <v>22</v>
      </c>
      <c r="AN1" s="49" t="s">
        <v>71</v>
      </c>
      <c r="AO1" s="49" t="s">
        <v>43</v>
      </c>
      <c r="AP1" s="49" t="s">
        <v>48</v>
      </c>
      <c r="AQ1" s="49" t="s">
        <v>68</v>
      </c>
      <c r="AR1" s="49" t="s">
        <v>12</v>
      </c>
      <c r="AS1" s="49" t="s">
        <v>62</v>
      </c>
      <c r="AT1" s="49" t="s">
        <v>61</v>
      </c>
      <c r="AU1" s="49" t="s">
        <v>51</v>
      </c>
      <c r="AV1" s="49" t="s">
        <v>8</v>
      </c>
      <c r="AW1" s="49" t="s">
        <v>64</v>
      </c>
      <c r="AX1" s="49" t="s">
        <v>26</v>
      </c>
      <c r="AY1" s="49" t="s">
        <v>67</v>
      </c>
      <c r="AZ1" s="49" t="s">
        <v>57</v>
      </c>
      <c r="BA1" s="49" t="s">
        <v>54</v>
      </c>
      <c r="BB1" s="49" t="s">
        <v>37</v>
      </c>
      <c r="BC1" s="49" t="s">
        <v>65</v>
      </c>
      <c r="BD1" s="49" t="s">
        <v>27</v>
      </c>
      <c r="BE1" s="49" t="s">
        <v>50</v>
      </c>
      <c r="BF1" s="49" t="s">
        <v>69</v>
      </c>
      <c r="BG1" s="49" t="s">
        <v>4</v>
      </c>
    </row>
    <row r="2" spans="1:70" s="51" customFormat="1" ht="31.5" customHeight="1">
      <c r="A2" s="153" t="s">
        <v>372</v>
      </c>
      <c r="B2" s="129" t="s">
        <v>360</v>
      </c>
      <c r="C2" s="169"/>
      <c r="D2" s="50"/>
      <c r="E2" s="50"/>
      <c r="F2" s="107"/>
      <c r="G2" s="51" t="s">
        <v>123</v>
      </c>
      <c r="H2" s="51" t="s">
        <v>124</v>
      </c>
      <c r="I2" s="51" t="s">
        <v>125</v>
      </c>
      <c r="J2" s="51" t="s">
        <v>128</v>
      </c>
      <c r="K2" s="51" t="s">
        <v>141</v>
      </c>
      <c r="L2" s="51" t="s">
        <v>173</v>
      </c>
      <c r="M2" s="51" t="s">
        <v>126</v>
      </c>
      <c r="N2" s="51" t="s">
        <v>150</v>
      </c>
      <c r="O2" s="51" t="s">
        <v>156</v>
      </c>
      <c r="P2" s="51" t="s">
        <v>163</v>
      </c>
      <c r="Q2" s="51" t="s">
        <v>164</v>
      </c>
      <c r="R2" s="51" t="s">
        <v>170</v>
      </c>
      <c r="S2" s="51" t="s">
        <v>189</v>
      </c>
      <c r="T2" s="51" t="s">
        <v>137</v>
      </c>
      <c r="U2" s="51" t="s">
        <v>158</v>
      </c>
      <c r="V2" s="51" t="s">
        <v>168</v>
      </c>
      <c r="W2" s="51" t="s">
        <v>166</v>
      </c>
      <c r="X2" s="51" t="s">
        <v>187</v>
      </c>
      <c r="Y2" s="51" t="s">
        <v>185</v>
      </c>
      <c r="Z2" s="51" t="s">
        <v>138</v>
      </c>
      <c r="AA2" s="51" t="s">
        <v>153</v>
      </c>
      <c r="AB2" s="51" t="s">
        <v>184</v>
      </c>
      <c r="AC2" s="51" t="s">
        <v>175</v>
      </c>
      <c r="AD2" s="51" t="s">
        <v>167</v>
      </c>
      <c r="AE2" s="51" t="s">
        <v>160</v>
      </c>
      <c r="AF2" s="51" t="s">
        <v>161</v>
      </c>
      <c r="AG2" s="51" t="s">
        <v>183</v>
      </c>
      <c r="AI2" s="51" t="s">
        <v>182</v>
      </c>
      <c r="AJ2" s="51" t="s">
        <v>136</v>
      </c>
      <c r="AK2" s="51" t="s">
        <v>188</v>
      </c>
      <c r="AL2" s="51" t="s">
        <v>131</v>
      </c>
      <c r="AM2" s="51" t="s">
        <v>143</v>
      </c>
      <c r="AN2" s="51" t="s">
        <v>130</v>
      </c>
      <c r="AO2" s="51" t="s">
        <v>177</v>
      </c>
      <c r="AP2" s="51" t="s">
        <v>176</v>
      </c>
      <c r="AQ2" s="51" t="s">
        <v>151</v>
      </c>
      <c r="AR2" s="51" t="s">
        <v>152</v>
      </c>
      <c r="AS2" s="51" t="s">
        <v>155</v>
      </c>
      <c r="AT2" s="51" t="s">
        <v>159</v>
      </c>
      <c r="AU2" s="51" t="s">
        <v>139</v>
      </c>
      <c r="AV2" s="51" t="s">
        <v>162</v>
      </c>
      <c r="AW2" s="51" t="s">
        <v>178</v>
      </c>
      <c r="AX2" s="51" t="s">
        <v>179</v>
      </c>
      <c r="AY2" s="51" t="s">
        <v>135</v>
      </c>
      <c r="AZ2" s="51" t="s">
        <v>127</v>
      </c>
      <c r="BA2" s="51" t="s">
        <v>129</v>
      </c>
      <c r="BB2" s="51" t="s">
        <v>147</v>
      </c>
      <c r="BC2" s="51" t="s">
        <v>148</v>
      </c>
      <c r="BD2" s="51" t="s">
        <v>165</v>
      </c>
      <c r="BE2" s="51" t="s">
        <v>169</v>
      </c>
      <c r="BF2" s="51" t="s">
        <v>134</v>
      </c>
      <c r="BG2" s="51" t="s">
        <v>142</v>
      </c>
    </row>
    <row r="3" spans="1:70" s="51" customFormat="1" ht="18" customHeight="1">
      <c r="A3" s="95"/>
      <c r="B3" s="130"/>
      <c r="C3" s="52" t="s">
        <v>199</v>
      </c>
      <c r="D3" s="50"/>
      <c r="E3" s="50"/>
      <c r="F3" s="107"/>
      <c r="G3" s="51">
        <v>50</v>
      </c>
      <c r="N3" s="51">
        <v>18</v>
      </c>
      <c r="O3" s="51">
        <v>750</v>
      </c>
      <c r="P3" s="51">
        <v>700</v>
      </c>
      <c r="Q3" s="51">
        <v>2600</v>
      </c>
      <c r="S3" s="51">
        <v>15</v>
      </c>
      <c r="T3" s="51">
        <v>0.9</v>
      </c>
      <c r="U3" s="51">
        <v>3</v>
      </c>
      <c r="V3" s="51">
        <v>100</v>
      </c>
      <c r="W3" s="51">
        <v>125</v>
      </c>
      <c r="X3" s="51">
        <v>400</v>
      </c>
      <c r="Y3" s="51">
        <v>400</v>
      </c>
      <c r="AB3" s="51">
        <v>1000</v>
      </c>
      <c r="AC3" s="51">
        <v>50</v>
      </c>
      <c r="AD3" s="51">
        <v>15</v>
      </c>
      <c r="AE3" s="51">
        <v>15</v>
      </c>
      <c r="AF3" s="51">
        <v>50</v>
      </c>
      <c r="AG3" s="51">
        <v>50</v>
      </c>
      <c r="AI3" s="51">
        <v>200</v>
      </c>
      <c r="AJ3" s="51">
        <v>50</v>
      </c>
      <c r="AK3" s="51">
        <v>100</v>
      </c>
      <c r="AL3" s="51">
        <v>1500</v>
      </c>
      <c r="AS3" s="51">
        <v>0.05</v>
      </c>
      <c r="AT3" s="51">
        <v>0.05</v>
      </c>
      <c r="AU3" s="51">
        <v>0.05</v>
      </c>
      <c r="AW3" s="51">
        <v>0.5</v>
      </c>
    </row>
    <row r="4" spans="1:70" s="55" customFormat="1" ht="15" customHeight="1">
      <c r="A4" s="96"/>
      <c r="B4" s="131"/>
      <c r="C4" s="53"/>
      <c r="D4" s="54"/>
      <c r="E4" s="54"/>
      <c r="F4" s="108"/>
      <c r="G4" s="55" t="s">
        <v>1</v>
      </c>
      <c r="H4" s="55" t="s">
        <v>1</v>
      </c>
      <c r="I4" s="55" t="s">
        <v>1</v>
      </c>
      <c r="J4" s="55" t="s">
        <v>1</v>
      </c>
      <c r="K4" s="55" t="s">
        <v>19</v>
      </c>
      <c r="L4" s="55" t="s">
        <v>1</v>
      </c>
      <c r="M4" s="55" t="s">
        <v>1</v>
      </c>
      <c r="N4" s="55" t="s">
        <v>6</v>
      </c>
      <c r="O4" s="55" t="s">
        <v>6</v>
      </c>
      <c r="P4" s="55" t="s">
        <v>6</v>
      </c>
      <c r="Q4" s="55" t="s">
        <v>6</v>
      </c>
      <c r="R4" s="55" t="s">
        <v>6</v>
      </c>
      <c r="S4" s="55" t="s">
        <v>6</v>
      </c>
      <c r="T4" s="55" t="s">
        <v>6</v>
      </c>
      <c r="U4" s="55" t="s">
        <v>6</v>
      </c>
      <c r="V4" s="55" t="s">
        <v>3</v>
      </c>
      <c r="W4" s="55" t="s">
        <v>3</v>
      </c>
      <c r="X4" s="55" t="s">
        <v>6</v>
      </c>
      <c r="Y4" s="55" t="s">
        <v>32</v>
      </c>
      <c r="Z4" s="55" t="s">
        <v>3</v>
      </c>
      <c r="AA4" s="55" t="s">
        <v>3</v>
      </c>
      <c r="AB4" s="55" t="s">
        <v>6</v>
      </c>
      <c r="AC4" s="55" t="s">
        <v>6</v>
      </c>
      <c r="AD4" s="55" t="s">
        <v>6</v>
      </c>
      <c r="AE4" s="55" t="s">
        <v>6</v>
      </c>
      <c r="AF4" s="55" t="s">
        <v>6</v>
      </c>
      <c r="AG4" s="55" t="s">
        <v>6</v>
      </c>
      <c r="AI4" s="55" t="s">
        <v>3</v>
      </c>
      <c r="AJ4" s="55" t="s">
        <v>6</v>
      </c>
      <c r="AK4" s="55" t="s">
        <v>3</v>
      </c>
      <c r="AL4" s="55" t="s">
        <v>6</v>
      </c>
      <c r="AM4" s="55" t="s">
        <v>3</v>
      </c>
      <c r="AN4" s="55" t="s">
        <v>6</v>
      </c>
      <c r="AO4" s="55" t="s">
        <v>1</v>
      </c>
      <c r="AP4" s="55" t="s">
        <v>6</v>
      </c>
      <c r="AQ4" s="55" t="s">
        <v>1</v>
      </c>
      <c r="AR4" s="55" t="s">
        <v>1</v>
      </c>
      <c r="AS4" s="55" t="s">
        <v>1</v>
      </c>
      <c r="AT4" s="55" t="s">
        <v>1</v>
      </c>
      <c r="AU4" s="55" t="s">
        <v>1</v>
      </c>
      <c r="AV4" s="55" t="s">
        <v>1</v>
      </c>
      <c r="AW4" s="55" t="s">
        <v>1</v>
      </c>
      <c r="AX4" s="55" t="s">
        <v>1</v>
      </c>
      <c r="AY4" s="55" t="s">
        <v>1</v>
      </c>
      <c r="AZ4" s="55" t="s">
        <v>1</v>
      </c>
      <c r="BA4" s="55" t="s">
        <v>1</v>
      </c>
      <c r="BD4" s="55" t="s">
        <v>1</v>
      </c>
      <c r="BE4" s="55" t="s">
        <v>1</v>
      </c>
      <c r="BF4" s="55" t="s">
        <v>6</v>
      </c>
      <c r="BG4" s="55" t="s">
        <v>1</v>
      </c>
    </row>
    <row r="5" spans="1:70" ht="15" customHeight="1">
      <c r="A5" s="98">
        <v>2705408</v>
      </c>
      <c r="B5" s="132" t="s">
        <v>362</v>
      </c>
      <c r="C5" s="44" t="s">
        <v>290</v>
      </c>
      <c r="D5" s="50" t="s">
        <v>280</v>
      </c>
      <c r="E5" s="60" t="s">
        <v>221</v>
      </c>
      <c r="F5" s="63">
        <v>244</v>
      </c>
      <c r="G5" s="141">
        <v>0.56999999999999995</v>
      </c>
      <c r="H5" s="142">
        <v>1.2</v>
      </c>
      <c r="I5" s="117">
        <v>7.44</v>
      </c>
      <c r="J5" s="141">
        <v>0</v>
      </c>
      <c r="K5" s="142">
        <v>43</v>
      </c>
      <c r="L5" s="142">
        <v>6.97</v>
      </c>
      <c r="M5" s="142">
        <v>0.1</v>
      </c>
      <c r="N5" s="142">
        <v>0.31</v>
      </c>
      <c r="O5" s="142">
        <v>8</v>
      </c>
      <c r="P5" s="142">
        <v>30</v>
      </c>
      <c r="Q5" s="142">
        <v>33</v>
      </c>
      <c r="R5" s="142">
        <v>56</v>
      </c>
      <c r="S5" s="142">
        <v>0.18</v>
      </c>
      <c r="T5" s="142">
        <v>3.1E-2</v>
      </c>
      <c r="U5" s="142">
        <v>0</v>
      </c>
      <c r="V5" s="142">
        <v>0.1</v>
      </c>
      <c r="W5" s="142">
        <v>38</v>
      </c>
      <c r="X5" s="142">
        <v>3.08</v>
      </c>
      <c r="Y5" s="142">
        <v>0</v>
      </c>
      <c r="Z5" s="142">
        <v>0</v>
      </c>
      <c r="AA5" s="142">
        <v>0</v>
      </c>
      <c r="AB5" s="142">
        <v>0</v>
      </c>
      <c r="AC5" s="142">
        <v>0</v>
      </c>
      <c r="AD5" s="142">
        <v>3.3000000000000002E-2</v>
      </c>
      <c r="AE5" s="142">
        <v>7.4999999999999997E-2</v>
      </c>
      <c r="AF5" s="142">
        <v>0</v>
      </c>
      <c r="AG5" s="142">
        <v>0</v>
      </c>
      <c r="AH5" s="142"/>
      <c r="AI5" s="142">
        <v>0.32</v>
      </c>
      <c r="AJ5" s="142">
        <v>2.9</v>
      </c>
      <c r="AK5" s="142">
        <v>0</v>
      </c>
      <c r="AL5" s="142">
        <v>0</v>
      </c>
      <c r="AM5" s="142">
        <v>0</v>
      </c>
      <c r="AN5" s="142">
        <v>0</v>
      </c>
      <c r="AO5" s="142">
        <v>0</v>
      </c>
      <c r="AP5" s="142">
        <v>0</v>
      </c>
      <c r="AQ5" s="142">
        <v>0</v>
      </c>
      <c r="AR5" s="142">
        <v>0</v>
      </c>
      <c r="AS5" s="142">
        <v>0</v>
      </c>
      <c r="AT5" s="142">
        <v>0</v>
      </c>
      <c r="AU5" s="142">
        <v>0</v>
      </c>
      <c r="AV5" s="142">
        <v>0</v>
      </c>
      <c r="AW5" s="142">
        <v>0</v>
      </c>
      <c r="AX5" s="142">
        <v>0</v>
      </c>
      <c r="AY5" s="142">
        <v>0</v>
      </c>
      <c r="AZ5" s="142">
        <v>0</v>
      </c>
      <c r="BA5" s="142">
        <v>0</v>
      </c>
      <c r="BB5" s="142">
        <v>0</v>
      </c>
      <c r="BC5" s="142">
        <v>0</v>
      </c>
      <c r="BD5" s="142">
        <v>0</v>
      </c>
      <c r="BE5" s="142">
        <v>0</v>
      </c>
      <c r="BF5" s="142">
        <v>0</v>
      </c>
      <c r="BG5" s="142">
        <v>0.69</v>
      </c>
      <c r="BH5" s="44" t="str">
        <f>"new food('"&amp;B5&amp;"','"&amp;C5&amp;"','"&amp;D5&amp;"','"&amp;E5&amp;"','"&amp;F5&amp;"','"&amp;G5&amp;"','"&amp;H5&amp;"','"&amp;I5&amp;"','"&amp;J5&amp;"','"&amp;K5&amp;"','"&amp;L5&amp;"','"&amp;M5&amp;"','"&amp;N5&amp;"','"&amp;O5&amp;"','"&amp;P5&amp;"','"&amp;Q5&amp;"','"&amp;R5&amp;"','"&amp;S5&amp;"','"&amp;T5&amp;"','"&amp;U5&amp;"','"&amp;V5&amp;"','"&amp;W5&amp;"','"&amp;X5&amp;"','"&amp;Y5&amp;"','"&amp;Z5&amp;"','"&amp;AA5&amp;"','"&amp;AB5&amp;"','"&amp;AC5&amp;"','"&amp;AD5&amp;"','"&amp;AE5&amp;"','"&amp;AF5&amp;"','"&amp;AG5&amp;"','"&amp;AI5&amp;"','"&amp;AJ5&amp;"','"&amp;AK5&amp;"','"&amp;AL5&amp;"','"&amp;AM5&amp;"','"&amp;AN5&amp;"','"&amp;AO5&amp;"','"&amp;AP5&amp;"','"&amp;AQ5&amp;"','"&amp;AR5&amp;"','"&amp;AS5&amp;"','"&amp;AT5&amp;"','"&amp;AU5&amp;"','"&amp;AV5&amp;"','"&amp;AW5&amp;"','"&amp;AX5&amp;"','"&amp;AY5&amp;"','"&amp;AZ5&amp;"','"&amp;BA5&amp;"','"&amp;BB5&amp;"','"&amp;BC5&amp;"','"&amp;BD5&amp;"','"&amp;BE5&amp;"','"&amp;BF5&amp;"','"&amp;BG5&amp;"'),"</f>
        <v>new food('n','Almond milk chocolate','Bev','1 cup','244','0.57','1.2','7.44','0','43','6.97','0.1','0.31','8','30','33','56','0.18','0.031','0','0.1','38','3.08','0','0','0','0','0','0.033','0.075','0','0','0.32','2.9','0','0','0','0','0','0','0','0','0','0','0','0','0','0','0','0','0','0','0','0','0','0','0.69'),</v>
      </c>
    </row>
    <row r="6" spans="1:70" ht="15" customHeight="1">
      <c r="A6" s="98">
        <v>1750340</v>
      </c>
      <c r="B6" s="132" t="s">
        <v>362</v>
      </c>
      <c r="C6" s="44" t="s">
        <v>236</v>
      </c>
      <c r="D6" s="50" t="s">
        <v>87</v>
      </c>
      <c r="E6" s="50" t="s">
        <v>232</v>
      </c>
      <c r="F6" s="117"/>
      <c r="G6" s="142">
        <v>0.15</v>
      </c>
      <c r="H6" s="142">
        <v>0.16</v>
      </c>
      <c r="I6" s="142">
        <v>15.65</v>
      </c>
      <c r="J6" s="142">
        <v>0</v>
      </c>
      <c r="K6" s="142">
        <v>65</v>
      </c>
      <c r="L6" s="142">
        <v>13.33</v>
      </c>
      <c r="M6" s="142">
        <v>2.1</v>
      </c>
      <c r="N6" s="142">
        <v>0.02</v>
      </c>
      <c r="O6" s="142">
        <v>5</v>
      </c>
      <c r="P6" s="142">
        <v>10</v>
      </c>
      <c r="Q6" s="142">
        <v>104</v>
      </c>
      <c r="R6" s="142">
        <v>1</v>
      </c>
      <c r="S6" s="142">
        <v>0.02</v>
      </c>
      <c r="T6" s="142">
        <v>3.3000000000000002E-2</v>
      </c>
      <c r="U6" s="142">
        <v>0</v>
      </c>
      <c r="V6" s="142">
        <v>0</v>
      </c>
      <c r="W6" s="142">
        <v>0</v>
      </c>
      <c r="X6" s="142">
        <v>0.18</v>
      </c>
      <c r="Y6" s="142">
        <v>0</v>
      </c>
      <c r="Z6" s="142">
        <v>11</v>
      </c>
      <c r="AA6" s="142">
        <v>29</v>
      </c>
      <c r="AB6" s="142">
        <v>4.5999999999999996</v>
      </c>
      <c r="AC6" s="142">
        <v>6.0000000000000001E-3</v>
      </c>
      <c r="AD6" s="142">
        <v>6.8000000000000005E-2</v>
      </c>
      <c r="AE6" s="142">
        <v>9.0999999999999998E-2</v>
      </c>
      <c r="AF6" s="142">
        <v>0</v>
      </c>
      <c r="AG6" s="142">
        <v>3.5000000000000003E-2</v>
      </c>
      <c r="AH6" s="142"/>
      <c r="AI6" s="142">
        <v>0</v>
      </c>
      <c r="AJ6" s="142">
        <v>3.4</v>
      </c>
      <c r="AK6" s="142">
        <v>2.2000000000000002</v>
      </c>
      <c r="AL6" s="142">
        <v>0</v>
      </c>
      <c r="AM6" s="142">
        <v>0</v>
      </c>
      <c r="AN6" s="142">
        <v>0</v>
      </c>
      <c r="AO6" s="142">
        <v>0</v>
      </c>
      <c r="AP6" s="142">
        <v>0</v>
      </c>
      <c r="AQ6" s="142">
        <v>0</v>
      </c>
      <c r="AR6" s="142">
        <v>0</v>
      </c>
      <c r="AS6" s="142">
        <v>0</v>
      </c>
      <c r="AT6" s="142">
        <v>0</v>
      </c>
      <c r="AU6" s="142">
        <v>0</v>
      </c>
      <c r="AV6" s="142">
        <v>0</v>
      </c>
      <c r="AW6" s="142">
        <v>0</v>
      </c>
      <c r="AX6" s="142">
        <v>0</v>
      </c>
      <c r="AY6" s="142">
        <v>0</v>
      </c>
      <c r="AZ6" s="142">
        <v>0</v>
      </c>
      <c r="BA6" s="142">
        <v>0</v>
      </c>
      <c r="BB6" s="142">
        <v>0</v>
      </c>
      <c r="BC6" s="142">
        <v>0</v>
      </c>
      <c r="BD6" s="142">
        <v>0</v>
      </c>
      <c r="BE6" s="142">
        <v>0</v>
      </c>
      <c r="BF6" s="142">
        <v>0</v>
      </c>
      <c r="BG6" s="142">
        <v>7.0000000000000001E-3</v>
      </c>
      <c r="BH6" s="44" t="str">
        <f t="shared" ref="BH6:BH55" si="0">"new food('"&amp;B6&amp;"','"&amp;C6&amp;"','"&amp;D6&amp;"','"&amp;E6&amp;"','"&amp;F6&amp;"','"&amp;G6&amp;"','"&amp;H6&amp;"','"&amp;I6&amp;"','"&amp;J6&amp;"','"&amp;K6&amp;"','"&amp;L6&amp;"','"&amp;M6&amp;"','"&amp;N6&amp;"','"&amp;O6&amp;"','"&amp;P6&amp;"','"&amp;Q6&amp;"','"&amp;R6&amp;"','"&amp;S6&amp;"','"&amp;T6&amp;"','"&amp;U6&amp;"','"&amp;V6&amp;"','"&amp;W6&amp;"','"&amp;X6&amp;"','"&amp;Y6&amp;"','"&amp;Z6&amp;"','"&amp;AA6&amp;"','"&amp;AB6&amp;"','"&amp;AC6&amp;"','"&amp;AD6&amp;"','"&amp;AE6&amp;"','"&amp;AF6&amp;"','"&amp;AG6&amp;"','"&amp;AI6&amp;"','"&amp;AJ6&amp;"','"&amp;AK6&amp;"','"&amp;AL6&amp;"','"&amp;AM6&amp;"','"&amp;AN6&amp;"','"&amp;AO6&amp;"','"&amp;AP6&amp;"','"&amp;AQ6&amp;"','"&amp;AR6&amp;"','"&amp;AS6&amp;"','"&amp;AT6&amp;"','"&amp;AU6&amp;"','"&amp;AV6&amp;"','"&amp;AW6&amp;"','"&amp;AX6&amp;"','"&amp;AY6&amp;"','"&amp;AZ6&amp;"','"&amp;BA6&amp;"','"&amp;BB6&amp;"','"&amp;BC6&amp;"','"&amp;BD6&amp;"','"&amp;BE6&amp;"','"&amp;BF6&amp;"','"&amp;BG6&amp;"'),"</f>
        <v>new food('n','Apples fuji with skin raw','Fruit','1 med','','0.15','0.16','15.65','0','65','13.33','2.1','0.02','5','10','104','1','0.02','0.033','0','0','0','0.18','0','11','29','4.6','0.006','0.068','0.091','0','0.035','0','3.4','2.2','0','0','0','0','0','0','0','0','0','0','0','0','0','0','0','0','0','0','0','0','0','0.007'),</v>
      </c>
    </row>
    <row r="7" spans="1:70" ht="15" customHeight="1">
      <c r="A7" s="98">
        <v>1750341</v>
      </c>
      <c r="B7" s="132" t="s">
        <v>362</v>
      </c>
      <c r="C7" s="44" t="s">
        <v>237</v>
      </c>
      <c r="D7" s="50" t="s">
        <v>87</v>
      </c>
      <c r="E7" s="50" t="s">
        <v>232</v>
      </c>
      <c r="F7" s="117"/>
      <c r="G7" s="142">
        <v>0.13</v>
      </c>
      <c r="H7" s="142">
        <v>0.15</v>
      </c>
      <c r="I7" s="142">
        <v>14.77</v>
      </c>
      <c r="J7" s="142">
        <v>0</v>
      </c>
      <c r="K7" s="142">
        <v>61</v>
      </c>
      <c r="L7" s="142">
        <v>11.84</v>
      </c>
      <c r="M7" s="142">
        <v>2.1</v>
      </c>
      <c r="N7" s="142">
        <v>0.06</v>
      </c>
      <c r="O7" s="142">
        <v>5</v>
      </c>
      <c r="P7" s="142">
        <v>8</v>
      </c>
      <c r="Q7" s="142">
        <v>106</v>
      </c>
      <c r="R7" s="142">
        <v>0</v>
      </c>
      <c r="S7" s="142">
        <v>0.02</v>
      </c>
      <c r="T7" s="142">
        <v>3.4000000000000002E-2</v>
      </c>
      <c r="U7" s="142">
        <v>0</v>
      </c>
      <c r="V7" s="142">
        <v>0</v>
      </c>
      <c r="W7" s="142">
        <v>0</v>
      </c>
      <c r="X7" s="142">
        <v>0.18</v>
      </c>
      <c r="Y7" s="142">
        <v>0</v>
      </c>
      <c r="Z7" s="142">
        <v>11</v>
      </c>
      <c r="AA7" s="142">
        <v>29</v>
      </c>
      <c r="AB7" s="142">
        <v>4.5999999999999996</v>
      </c>
      <c r="AC7" s="142">
        <v>1.0999999999999999E-2</v>
      </c>
      <c r="AD7" s="142">
        <v>6.9000000000000006E-2</v>
      </c>
      <c r="AE7" s="142">
        <v>8.8999999999999996E-2</v>
      </c>
      <c r="AF7" s="142">
        <v>0</v>
      </c>
      <c r="AG7" s="142">
        <v>3.2000000000000001E-2</v>
      </c>
      <c r="AH7" s="142"/>
      <c r="AI7" s="142">
        <v>0</v>
      </c>
      <c r="AJ7" s="142">
        <v>3.4</v>
      </c>
      <c r="AK7" s="142">
        <v>2.2000000000000002</v>
      </c>
      <c r="AL7" s="142">
        <v>1</v>
      </c>
      <c r="AM7" s="142">
        <v>1</v>
      </c>
      <c r="AN7" s="142">
        <v>0</v>
      </c>
      <c r="AO7" s="142">
        <v>0</v>
      </c>
      <c r="AP7" s="142">
        <v>0</v>
      </c>
      <c r="AQ7" s="142">
        <v>0</v>
      </c>
      <c r="AR7" s="142">
        <v>0</v>
      </c>
      <c r="AS7" s="142">
        <v>0</v>
      </c>
      <c r="AT7" s="142">
        <v>0</v>
      </c>
      <c r="AU7" s="142">
        <v>0</v>
      </c>
      <c r="AV7" s="142">
        <v>0</v>
      </c>
      <c r="AW7" s="142">
        <v>0</v>
      </c>
      <c r="AX7" s="142">
        <v>0</v>
      </c>
      <c r="AY7" s="142">
        <v>0</v>
      </c>
      <c r="AZ7" s="142">
        <v>0</v>
      </c>
      <c r="BA7" s="142">
        <v>0</v>
      </c>
      <c r="BB7" s="142">
        <v>0</v>
      </c>
      <c r="BC7" s="142">
        <v>0</v>
      </c>
      <c r="BD7" s="142">
        <v>0</v>
      </c>
      <c r="BE7" s="142">
        <v>0</v>
      </c>
      <c r="BF7" s="142">
        <v>0</v>
      </c>
      <c r="BG7" s="142">
        <v>7.0000000000000001E-3</v>
      </c>
      <c r="BH7" s="44" t="str">
        <f t="shared" si="0"/>
        <v>new food('n','Apples gala with skin raw','Fruit','1 med','','0.13','0.15','14.77','0','61','11.84','2.1','0.06','5','8','106','0','0.02','0.034','0','0','0','0.18','0','11','29','4.6','0.011','0.069','0.089','0','0.032','0','3.4','2.2','1','1','0','0','0','0','0','0','0','0','0','0','0','0','0','0','0','0','0','0','0','0.007'),</v>
      </c>
    </row>
    <row r="8" spans="1:70" ht="15" customHeight="1">
      <c r="A8" s="98">
        <v>1750343</v>
      </c>
      <c r="B8" s="132" t="s">
        <v>362</v>
      </c>
      <c r="C8" s="44" t="s">
        <v>238</v>
      </c>
      <c r="D8" s="50" t="s">
        <v>87</v>
      </c>
      <c r="E8" s="50" t="s">
        <v>232</v>
      </c>
      <c r="F8" s="117"/>
      <c r="G8" s="142">
        <v>0.1</v>
      </c>
      <c r="H8" s="142">
        <v>0.1</v>
      </c>
      <c r="I8" s="142">
        <v>14.68</v>
      </c>
      <c r="J8" s="142">
        <v>0</v>
      </c>
      <c r="K8" s="142">
        <v>60</v>
      </c>
      <c r="L8" s="142">
        <v>12.37</v>
      </c>
      <c r="M8" s="142">
        <v>1.7</v>
      </c>
      <c r="N8" s="142">
        <v>0</v>
      </c>
      <c r="O8" s="142">
        <v>4</v>
      </c>
      <c r="P8" s="142">
        <v>8</v>
      </c>
      <c r="Q8" s="142">
        <v>98</v>
      </c>
      <c r="R8" s="142">
        <v>0</v>
      </c>
      <c r="S8" s="142">
        <v>0.02</v>
      </c>
      <c r="T8" s="142">
        <v>2.3E-2</v>
      </c>
      <c r="U8" s="142">
        <v>0</v>
      </c>
      <c r="V8" s="142">
        <v>0</v>
      </c>
      <c r="W8" s="142">
        <v>0</v>
      </c>
      <c r="X8" s="142">
        <v>0.18</v>
      </c>
      <c r="Y8" s="142">
        <v>0</v>
      </c>
      <c r="Z8" s="142">
        <v>11</v>
      </c>
      <c r="AA8" s="142">
        <v>29</v>
      </c>
      <c r="AB8" s="142">
        <v>4.5999999999999996</v>
      </c>
      <c r="AC8" s="142">
        <v>8.9999999999999993E-3</v>
      </c>
      <c r="AD8" s="142">
        <v>7.3999999999999996E-2</v>
      </c>
      <c r="AE8" s="142">
        <v>7.3999999999999996E-2</v>
      </c>
      <c r="AF8" s="142">
        <v>0</v>
      </c>
      <c r="AG8" s="142">
        <v>3.3000000000000002E-2</v>
      </c>
      <c r="AH8" s="142"/>
      <c r="AI8" s="142">
        <v>0</v>
      </c>
      <c r="AJ8" s="142">
        <v>3.4</v>
      </c>
      <c r="AK8" s="142">
        <v>2.2000000000000002</v>
      </c>
      <c r="AL8" s="142">
        <v>0</v>
      </c>
      <c r="AM8" s="142">
        <v>0</v>
      </c>
      <c r="AN8" s="142">
        <v>0</v>
      </c>
      <c r="AO8" s="142">
        <v>0</v>
      </c>
      <c r="AP8" s="142">
        <v>0</v>
      </c>
      <c r="AQ8" s="142">
        <v>0</v>
      </c>
      <c r="AR8" s="142">
        <v>0</v>
      </c>
      <c r="AS8" s="142">
        <v>0</v>
      </c>
      <c r="AT8" s="142">
        <v>0</v>
      </c>
      <c r="AU8" s="142">
        <v>0</v>
      </c>
      <c r="AV8" s="142">
        <v>0</v>
      </c>
      <c r="AW8" s="142">
        <v>0</v>
      </c>
      <c r="AX8" s="142">
        <v>0</v>
      </c>
      <c r="AY8" s="142">
        <v>0</v>
      </c>
      <c r="AZ8" s="142">
        <v>0</v>
      </c>
      <c r="BA8" s="142">
        <v>0</v>
      </c>
      <c r="BB8" s="142">
        <v>0</v>
      </c>
      <c r="BC8" s="142">
        <v>0</v>
      </c>
      <c r="BD8" s="142">
        <v>0</v>
      </c>
      <c r="BE8" s="142">
        <v>0</v>
      </c>
      <c r="BF8" s="142">
        <v>0</v>
      </c>
      <c r="BG8" s="142">
        <v>7.0000000000000001E-3</v>
      </c>
      <c r="BH8" s="44" t="str">
        <f t="shared" si="0"/>
        <v>new food('n','Apples honeycrisp with skin raw','Fruit','1 med','','0.1','0.1','14.68','0','60','12.37','1.7','0','4','8','98','0','0.02','0.023','0','0','0','0.18','0','11','29','4.6','0.009','0.074','0.074','0','0.033','0','3.4','2.2','0','0','0','0','0','0','0','0','0','0','0','0','0','0','0','0','0','0','0','0','0','0.007'),</v>
      </c>
    </row>
    <row r="9" spans="1:70" ht="15" customHeight="1">
      <c r="A9" s="98">
        <v>167582</v>
      </c>
      <c r="B9" s="132" t="s">
        <v>362</v>
      </c>
      <c r="C9" s="44" t="s">
        <v>251</v>
      </c>
      <c r="D9" s="60" t="s">
        <v>285</v>
      </c>
      <c r="E9" s="60" t="s">
        <v>264</v>
      </c>
      <c r="F9" s="63"/>
      <c r="G9" s="141">
        <v>5.4</v>
      </c>
      <c r="H9" s="142">
        <v>21.6</v>
      </c>
      <c r="I9" s="141">
        <v>64.8</v>
      </c>
      <c r="J9" s="141">
        <v>0</v>
      </c>
      <c r="K9" s="142">
        <v>475</v>
      </c>
      <c r="L9" s="142">
        <v>54</v>
      </c>
      <c r="M9" s="142">
        <v>2</v>
      </c>
      <c r="N9" s="142">
        <v>0.63</v>
      </c>
      <c r="O9" s="142">
        <v>43</v>
      </c>
      <c r="P9" s="142">
        <v>94</v>
      </c>
      <c r="Q9" s="142">
        <v>249</v>
      </c>
      <c r="R9" s="142">
        <v>230</v>
      </c>
      <c r="S9" s="142">
        <v>0.72</v>
      </c>
      <c r="T9" s="142">
        <v>0.22500000000000001</v>
      </c>
      <c r="U9" s="142">
        <v>0</v>
      </c>
      <c r="V9" s="142">
        <v>2.5</v>
      </c>
      <c r="W9" s="142">
        <v>0</v>
      </c>
      <c r="X9" s="142">
        <v>0.93</v>
      </c>
      <c r="Y9" s="142">
        <v>0</v>
      </c>
      <c r="Z9" s="142">
        <v>0</v>
      </c>
      <c r="AA9" s="142">
        <v>0</v>
      </c>
      <c r="AB9" s="142">
        <v>0</v>
      </c>
      <c r="AC9" s="142">
        <v>5.8000000000000003E-2</v>
      </c>
      <c r="AD9" s="142">
        <v>0.121</v>
      </c>
      <c r="AE9" s="142">
        <v>1.2509999999999999</v>
      </c>
      <c r="AF9" s="142">
        <v>0</v>
      </c>
      <c r="AG9" s="142">
        <v>4.2000000000000003E-2</v>
      </c>
      <c r="AH9" s="142"/>
      <c r="AI9" s="142">
        <v>0.06</v>
      </c>
      <c r="AJ9" s="142">
        <v>34.9</v>
      </c>
      <c r="AK9" s="142">
        <v>2.2999999999999998</v>
      </c>
      <c r="AL9" s="142">
        <v>12</v>
      </c>
      <c r="AM9" s="142">
        <v>12</v>
      </c>
      <c r="AN9" s="142">
        <v>0</v>
      </c>
      <c r="AO9" s="142">
        <v>0</v>
      </c>
      <c r="AP9" s="142">
        <v>0</v>
      </c>
      <c r="AQ9" s="142">
        <v>0</v>
      </c>
      <c r="AR9" s="142">
        <v>0</v>
      </c>
      <c r="AS9" s="142">
        <v>0</v>
      </c>
      <c r="AT9" s="142">
        <v>0</v>
      </c>
      <c r="AU9" s="142">
        <v>0</v>
      </c>
      <c r="AV9" s="142">
        <v>0</v>
      </c>
      <c r="AW9" s="142">
        <v>0</v>
      </c>
      <c r="AX9" s="142">
        <v>0</v>
      </c>
      <c r="AY9" s="142">
        <v>0</v>
      </c>
      <c r="AZ9" s="142">
        <v>0</v>
      </c>
      <c r="BA9" s="142">
        <v>0</v>
      </c>
      <c r="BB9" s="142">
        <v>0</v>
      </c>
      <c r="BC9" s="142">
        <v>0</v>
      </c>
      <c r="BD9" s="142">
        <v>0</v>
      </c>
      <c r="BE9" s="142">
        <v>0</v>
      </c>
      <c r="BF9" s="142">
        <v>0</v>
      </c>
      <c r="BG9" s="142">
        <v>5.5570000000000004</v>
      </c>
      <c r="BH9" s="44" t="str">
        <f t="shared" si="0"/>
        <v>new food('n','Baby Ruth Candy Bar','Snack','1 bar','','5.4','21.6','64.8','0','475','54','2','0.63','43','94','249','230','0.72','0.225','0','2.5','0','0.93','0','0','0','0','0.058','0.121','1.251','0','0.042','0.06','34.9','2.3','12','12','0','0','0','0','0','0','0','0','0','0','0','0','0','0','0','0','0','0','0','5.557'),</v>
      </c>
    </row>
    <row r="10" spans="1:70" ht="15" customHeight="1">
      <c r="A10" s="98">
        <v>1105073</v>
      </c>
      <c r="B10" s="132" t="s">
        <v>362</v>
      </c>
      <c r="C10" s="44" t="s">
        <v>281</v>
      </c>
      <c r="D10" s="50" t="s">
        <v>87</v>
      </c>
      <c r="E10" s="50" t="s">
        <v>232</v>
      </c>
      <c r="F10" s="117"/>
      <c r="G10" s="117">
        <v>2.33</v>
      </c>
      <c r="H10" s="117">
        <v>1.45</v>
      </c>
      <c r="I10" s="117">
        <v>13.1</v>
      </c>
      <c r="J10" s="117">
        <v>0</v>
      </c>
      <c r="K10" s="117">
        <v>75</v>
      </c>
      <c r="L10" s="117">
        <v>11.5</v>
      </c>
      <c r="M10" s="117">
        <v>0.6</v>
      </c>
      <c r="N10" s="117">
        <v>0.04</v>
      </c>
      <c r="O10" s="117">
        <v>14</v>
      </c>
      <c r="P10" s="117">
        <v>72</v>
      </c>
      <c r="Q10" s="117">
        <v>169</v>
      </c>
      <c r="R10" s="117">
        <v>26</v>
      </c>
      <c r="S10" s="117">
        <v>0.32</v>
      </c>
      <c r="T10" s="117">
        <v>3.5999999999999997E-2</v>
      </c>
      <c r="U10" s="117">
        <v>0</v>
      </c>
      <c r="V10" s="117">
        <v>1.3</v>
      </c>
      <c r="W10" s="117">
        <v>36</v>
      </c>
      <c r="X10" s="117">
        <v>0.08</v>
      </c>
      <c r="Y10" s="117">
        <v>0</v>
      </c>
      <c r="Z10" s="117">
        <v>0</v>
      </c>
      <c r="AA10" s="117">
        <v>7</v>
      </c>
      <c r="AB10" s="117">
        <v>10.199999999999999</v>
      </c>
      <c r="AC10" s="117">
        <v>4.9000000000000002E-2</v>
      </c>
      <c r="AD10" s="117">
        <v>0.09</v>
      </c>
      <c r="AE10" s="117">
        <v>0.24099999999999999</v>
      </c>
      <c r="AF10" s="117">
        <v>0</v>
      </c>
      <c r="AG10" s="117">
        <v>0.08</v>
      </c>
      <c r="AH10" s="117"/>
      <c r="AI10" s="117">
        <v>0.35</v>
      </c>
      <c r="AJ10" s="117">
        <v>13.9</v>
      </c>
      <c r="AK10" s="117">
        <v>0.4</v>
      </c>
      <c r="AL10" s="117">
        <v>4</v>
      </c>
      <c r="AM10" s="117">
        <v>4</v>
      </c>
      <c r="AN10" s="117">
        <v>0</v>
      </c>
      <c r="AO10" s="117">
        <v>0</v>
      </c>
      <c r="AP10" s="117">
        <v>0</v>
      </c>
      <c r="AQ10" s="117">
        <v>0</v>
      </c>
      <c r="AR10" s="117">
        <v>0</v>
      </c>
      <c r="AS10" s="117">
        <v>0</v>
      </c>
      <c r="AT10" s="117">
        <v>0</v>
      </c>
      <c r="AU10" s="117">
        <v>0</v>
      </c>
      <c r="AV10" s="117">
        <v>0</v>
      </c>
      <c r="AW10" s="117">
        <v>0</v>
      </c>
      <c r="AX10" s="117">
        <v>0</v>
      </c>
      <c r="AY10" s="117">
        <v>0</v>
      </c>
      <c r="AZ10" s="117">
        <v>0</v>
      </c>
      <c r="BA10" s="117">
        <v>0</v>
      </c>
      <c r="BB10" s="117">
        <v>0</v>
      </c>
      <c r="BC10" s="117">
        <v>0</v>
      </c>
      <c r="BD10" s="117">
        <v>0</v>
      </c>
      <c r="BE10" s="117">
        <v>0</v>
      </c>
      <c r="BF10" s="117">
        <v>6</v>
      </c>
      <c r="BG10" s="117">
        <v>0.3</v>
      </c>
      <c r="BH10" s="44" t="str">
        <f t="shared" si="0"/>
        <v>new food('n','Banana','Fruit','1 med','','2.33','1.45','13.1','0','75','11.5','0.6','0.04','14','72','169','26','0.32','0.036','0','1.3','36','0.08','0','0','7','10.2','0.049','0.09','0.241','0','0.08','0.35','13.9','0.4','4','4','0','0','0','0','0','0','0','0','0','0','0','0','0','0','0','0','0','0','6','0.3'),</v>
      </c>
    </row>
    <row r="11" spans="1:70" ht="15" customHeight="1">
      <c r="A11" s="98">
        <v>4</v>
      </c>
      <c r="B11" s="132">
        <v>4</v>
      </c>
      <c r="C11" s="44" t="s">
        <v>321</v>
      </c>
      <c r="D11" s="77" t="s">
        <v>207</v>
      </c>
      <c r="E11" s="116" t="s">
        <v>320</v>
      </c>
      <c r="F11" s="117">
        <v>257</v>
      </c>
      <c r="G11" s="117">
        <v>13.46</v>
      </c>
      <c r="H11" s="117">
        <v>7.64</v>
      </c>
      <c r="I11" s="142">
        <v>27.44</v>
      </c>
      <c r="J11" s="117">
        <v>0.5</v>
      </c>
      <c r="K11" s="117">
        <v>231</v>
      </c>
      <c r="L11" s="117">
        <v>4.34</v>
      </c>
      <c r="M11" s="117">
        <v>2.88</v>
      </c>
      <c r="N11" s="117">
        <v>2.17</v>
      </c>
      <c r="O11" s="117">
        <v>38.5</v>
      </c>
      <c r="P11" s="117">
        <v>160.33000000000001</v>
      </c>
      <c r="Q11" s="117">
        <v>304.17</v>
      </c>
      <c r="R11" s="117">
        <v>160</v>
      </c>
      <c r="S11" s="117">
        <v>2.31</v>
      </c>
      <c r="T11" s="142">
        <v>0.15</v>
      </c>
      <c r="U11" s="117">
        <v>0.15</v>
      </c>
      <c r="V11" s="117">
        <v>22.59</v>
      </c>
      <c r="W11" s="117">
        <v>1.67</v>
      </c>
      <c r="X11" s="117">
        <v>0.54</v>
      </c>
      <c r="Y11" s="117">
        <v>2.83</v>
      </c>
      <c r="Z11" s="142">
        <v>4</v>
      </c>
      <c r="AA11" s="117">
        <v>244.17</v>
      </c>
      <c r="AB11" s="117">
        <v>6.83</v>
      </c>
      <c r="AC11" s="117">
        <v>0.25</v>
      </c>
      <c r="AD11" s="117">
        <v>0.18</v>
      </c>
      <c r="AE11" s="117">
        <v>4.34</v>
      </c>
      <c r="AF11" s="117">
        <v>0.45</v>
      </c>
      <c r="AG11" s="117">
        <v>0.23</v>
      </c>
      <c r="AH11" s="117"/>
      <c r="AI11" s="117">
        <v>0.62</v>
      </c>
      <c r="AJ11" s="142">
        <v>46.52</v>
      </c>
      <c r="AK11" s="117">
        <v>11.82</v>
      </c>
      <c r="AL11" s="142">
        <v>31.17</v>
      </c>
      <c r="AM11" s="117">
        <v>70.83</v>
      </c>
      <c r="AN11" s="142">
        <v>10.38</v>
      </c>
      <c r="AO11" s="117">
        <v>7.0000000000000007E-2</v>
      </c>
      <c r="AP11" s="117">
        <v>0.45</v>
      </c>
      <c r="AQ11" s="117">
        <v>0.52</v>
      </c>
      <c r="AR11" s="117">
        <v>0.94</v>
      </c>
      <c r="AS11" s="117">
        <v>0.9</v>
      </c>
      <c r="AT11" s="117">
        <v>0.28999999999999998</v>
      </c>
      <c r="AU11" s="117">
        <v>0.14000000000000001</v>
      </c>
      <c r="AV11" s="117">
        <v>0.49</v>
      </c>
      <c r="AW11" s="117">
        <v>0.36</v>
      </c>
      <c r="AX11" s="117">
        <v>0.59</v>
      </c>
      <c r="AY11" s="142">
        <v>0.73</v>
      </c>
      <c r="AZ11" s="142">
        <v>0.72</v>
      </c>
      <c r="BA11" s="142">
        <v>1.05</v>
      </c>
      <c r="BB11" s="117">
        <v>2.06</v>
      </c>
      <c r="BC11" s="117">
        <v>0.75</v>
      </c>
      <c r="BD11" s="117">
        <v>0.71</v>
      </c>
      <c r="BE11" s="117">
        <v>1.93</v>
      </c>
      <c r="BF11" s="117">
        <v>39.67</v>
      </c>
      <c r="BG11" s="117">
        <v>2.2999999999999998</v>
      </c>
      <c r="BH11" s="44" t="str">
        <f t="shared" si="0"/>
        <v>new food('4','Beef pasta hotdish','Entre','1 serving','257','13.46','7.64','27.44','0.5','231','4.34','2.88','2.17','38.5','160.33','304.17','160','2.31','0.15','0.15','22.59','1.67','0.54','2.83','4','244.17','6.83','0.25','0.18','4.34','0.45','0.23','0.62','46.52','11.82','31.17','70.83','10.38','0.07','0.45','0.52','0.94','0.9','0.29','0.14','0.49','0.36','0.59','0.73','0.72','1.05','2.06','0.75','0.71','1.93','39.67','2.3'),</v>
      </c>
      <c r="BI11" s="116"/>
      <c r="BJ11" s="116"/>
      <c r="BK11" s="116"/>
      <c r="BL11" s="116"/>
      <c r="BM11" s="116"/>
      <c r="BN11" s="116"/>
      <c r="BO11" s="116"/>
      <c r="BP11" s="116"/>
      <c r="BQ11" s="116"/>
      <c r="BR11" s="116"/>
    </row>
    <row r="12" spans="1:70" ht="15" customHeight="1">
      <c r="A12" s="101">
        <v>169966</v>
      </c>
      <c r="B12" s="129" t="s">
        <v>362</v>
      </c>
      <c r="C12" s="44" t="s">
        <v>242</v>
      </c>
      <c r="D12" s="79" t="s">
        <v>88</v>
      </c>
      <c r="E12" s="50" t="s">
        <v>221</v>
      </c>
      <c r="F12" s="117"/>
      <c r="G12" s="117">
        <v>0.91</v>
      </c>
      <c r="H12" s="117">
        <v>0.14000000000000001</v>
      </c>
      <c r="I12" s="117">
        <v>7.21</v>
      </c>
      <c r="J12" s="143">
        <v>0</v>
      </c>
      <c r="K12" s="143">
        <v>31</v>
      </c>
      <c r="L12" s="117">
        <v>5.51</v>
      </c>
      <c r="M12" s="117">
        <v>1.8</v>
      </c>
      <c r="N12" s="143">
        <v>1.82</v>
      </c>
      <c r="O12" s="143">
        <v>17</v>
      </c>
      <c r="P12" s="143">
        <v>17</v>
      </c>
      <c r="Q12" s="117">
        <v>148</v>
      </c>
      <c r="R12" s="117">
        <v>194</v>
      </c>
      <c r="S12" s="144">
        <v>0.21</v>
      </c>
      <c r="T12" s="117">
        <v>5.8999999999999997E-2</v>
      </c>
      <c r="U12" s="117">
        <v>0</v>
      </c>
      <c r="V12" s="117">
        <v>0.5</v>
      </c>
      <c r="W12" s="117">
        <v>0</v>
      </c>
      <c r="X12" s="144">
        <v>0.03</v>
      </c>
      <c r="Y12" s="144">
        <v>0</v>
      </c>
      <c r="Z12" s="117">
        <v>0</v>
      </c>
      <c r="AA12" s="117">
        <v>0</v>
      </c>
      <c r="AB12" s="117">
        <v>4.0999999999999996</v>
      </c>
      <c r="AC12" s="117">
        <v>0.01</v>
      </c>
      <c r="AD12" s="117">
        <v>0.04</v>
      </c>
      <c r="AE12" s="117">
        <v>0.157</v>
      </c>
      <c r="AF12" s="117">
        <v>0</v>
      </c>
      <c r="AG12" s="117">
        <v>5.7000000000000002E-2</v>
      </c>
      <c r="AH12" s="117"/>
      <c r="AI12" s="117">
        <v>0</v>
      </c>
      <c r="AJ12" s="117">
        <v>7.5</v>
      </c>
      <c r="AK12" s="144">
        <v>0.2</v>
      </c>
      <c r="AL12" s="117">
        <v>30</v>
      </c>
      <c r="AM12" s="117">
        <v>30</v>
      </c>
      <c r="AN12" s="117">
        <v>0</v>
      </c>
      <c r="AO12" s="142">
        <v>0</v>
      </c>
      <c r="AP12" s="141">
        <v>0</v>
      </c>
      <c r="AQ12" s="141">
        <v>0</v>
      </c>
      <c r="AR12" s="141">
        <v>0</v>
      </c>
      <c r="AS12" s="141">
        <v>0</v>
      </c>
      <c r="AT12" s="142">
        <v>0</v>
      </c>
      <c r="AU12" s="142">
        <v>0</v>
      </c>
      <c r="AV12" s="141">
        <v>0</v>
      </c>
      <c r="AW12" s="142">
        <v>0</v>
      </c>
      <c r="AX12" s="142">
        <v>0</v>
      </c>
      <c r="AY12" s="142">
        <v>0</v>
      </c>
      <c r="AZ12" s="142">
        <v>0</v>
      </c>
      <c r="BA12" s="141">
        <v>0</v>
      </c>
      <c r="BB12" s="142">
        <v>0</v>
      </c>
      <c r="BC12" s="142">
        <v>0</v>
      </c>
      <c r="BD12" s="141">
        <v>0</v>
      </c>
      <c r="BE12" s="142">
        <v>0</v>
      </c>
      <c r="BF12" s="142">
        <v>0</v>
      </c>
      <c r="BG12" s="141">
        <v>2.7E-2</v>
      </c>
      <c r="BH12" s="44" t="str">
        <f t="shared" si="0"/>
        <v>new food('n','Beets canned drained solids','Veg','1 cup','','0.91','0.14','7.21','0','31','5.51','1.8','1.82','17','17','148','194','0.21','0.059','0','0.5','0','0.03','0','0','0','4.1','0.01','0.04','0.157','0','0.057','0','7.5','0.2','30','30','0','0','0','0','0','0','0','0','0','0','0','0','0','0','0','0','0','0','0','0.027'),</v>
      </c>
    </row>
    <row r="13" spans="1:70" ht="15" customHeight="1">
      <c r="A13" s="99">
        <v>173946</v>
      </c>
      <c r="B13" s="127" t="s">
        <v>362</v>
      </c>
      <c r="C13" s="61" t="s">
        <v>83</v>
      </c>
      <c r="D13" s="58" t="s">
        <v>87</v>
      </c>
      <c r="E13" s="60" t="s">
        <v>221</v>
      </c>
      <c r="F13" s="56">
        <v>144</v>
      </c>
      <c r="G13" s="65">
        <v>1.39</v>
      </c>
      <c r="H13" s="65">
        <v>0.49</v>
      </c>
      <c r="I13" s="65">
        <v>9.61</v>
      </c>
      <c r="J13" s="63">
        <v>0.37</v>
      </c>
      <c r="K13" s="65">
        <v>43</v>
      </c>
      <c r="L13" s="56">
        <v>4.88</v>
      </c>
      <c r="M13" s="56">
        <v>5.3</v>
      </c>
      <c r="N13" s="56">
        <v>0.62</v>
      </c>
      <c r="O13" s="56">
        <v>20</v>
      </c>
      <c r="P13" s="63">
        <v>22</v>
      </c>
      <c r="Q13" s="63">
        <v>162</v>
      </c>
      <c r="R13" s="56">
        <v>1</v>
      </c>
      <c r="S13" s="56">
        <v>0.53</v>
      </c>
      <c r="T13" s="63">
        <v>0.16500000000000001</v>
      </c>
      <c r="U13" s="56">
        <v>0.64600000000000002</v>
      </c>
      <c r="V13" s="63">
        <v>0.04</v>
      </c>
      <c r="W13" s="56">
        <v>0</v>
      </c>
      <c r="X13" s="63">
        <v>1.17</v>
      </c>
      <c r="Y13" s="56">
        <v>0</v>
      </c>
      <c r="Z13" s="56">
        <v>0</v>
      </c>
      <c r="AA13" s="56">
        <v>118</v>
      </c>
      <c r="AB13" s="63">
        <v>21</v>
      </c>
      <c r="AC13" s="56">
        <v>0.02</v>
      </c>
      <c r="AD13" s="56">
        <v>2.5999999999999999E-2</v>
      </c>
      <c r="AE13" s="56">
        <v>0.64600000000000002</v>
      </c>
      <c r="AF13" s="56">
        <v>0.27600000000000002</v>
      </c>
      <c r="AG13" s="56">
        <v>0.03</v>
      </c>
      <c r="AH13" s="56"/>
      <c r="AI13" s="56">
        <v>0</v>
      </c>
      <c r="AJ13" s="56">
        <v>8.5</v>
      </c>
      <c r="AK13" s="56">
        <v>19.8</v>
      </c>
      <c r="AL13" s="56">
        <v>29</v>
      </c>
      <c r="AM13" s="56">
        <v>25</v>
      </c>
      <c r="AN13" s="56">
        <v>0.3</v>
      </c>
      <c r="AO13" s="56">
        <v>0</v>
      </c>
      <c r="AP13" s="56">
        <v>0</v>
      </c>
      <c r="AQ13" s="56">
        <v>0</v>
      </c>
      <c r="AR13" s="56">
        <v>0</v>
      </c>
      <c r="AS13" s="56">
        <v>0</v>
      </c>
      <c r="AT13" s="56">
        <v>0</v>
      </c>
      <c r="AU13" s="56">
        <v>0</v>
      </c>
      <c r="AV13" s="56">
        <v>0</v>
      </c>
      <c r="AW13" s="56">
        <v>0</v>
      </c>
      <c r="AX13" s="56">
        <v>0</v>
      </c>
      <c r="AY13" s="56">
        <v>0</v>
      </c>
      <c r="AZ13" s="56">
        <v>0</v>
      </c>
      <c r="BA13" s="56">
        <v>0</v>
      </c>
      <c r="BB13" s="56">
        <v>0</v>
      </c>
      <c r="BC13" s="56">
        <v>0</v>
      </c>
      <c r="BD13" s="56">
        <v>0</v>
      </c>
      <c r="BE13" s="56">
        <v>0</v>
      </c>
      <c r="BF13" s="56">
        <v>0</v>
      </c>
      <c r="BG13" s="56">
        <v>4.7E-2</v>
      </c>
      <c r="BH13" s="44" t="str">
        <f t="shared" si="0"/>
        <v>new food('n','Blackberries raw','Fruit','1 cup','144','1.39','0.49','9.61','0.37','43','4.88','5.3','0.62','20','22','162','1','0.53','0.165','0.646','0.04','0','1.17','0','0','118','21','0.02','0.026','0.646','0.276','0.03','0','8.5','19.8','29','25','0.3','0','0','0','0','0','0','0','0','0','0','0','0','0','0','0','0','0','0','0.047'),</v>
      </c>
    </row>
    <row r="14" spans="1:70" ht="15" customHeight="1">
      <c r="A14" s="97">
        <v>171711</v>
      </c>
      <c r="B14" s="128" t="s">
        <v>362</v>
      </c>
      <c r="C14" s="57" t="s">
        <v>82</v>
      </c>
      <c r="D14" s="60" t="s">
        <v>87</v>
      </c>
      <c r="E14" s="58" t="s">
        <v>221</v>
      </c>
      <c r="F14" s="56">
        <v>148</v>
      </c>
      <c r="G14" s="65">
        <v>0.74</v>
      </c>
      <c r="H14" s="65">
        <v>0.33</v>
      </c>
      <c r="I14" s="65">
        <v>14.49</v>
      </c>
      <c r="J14" s="65">
        <v>0.24</v>
      </c>
      <c r="K14" s="65">
        <v>57</v>
      </c>
      <c r="L14" s="56">
        <v>9.9600000000000009</v>
      </c>
      <c r="M14" s="65">
        <v>2.4</v>
      </c>
      <c r="N14" s="65">
        <v>0.28000000000000003</v>
      </c>
      <c r="O14" s="63">
        <v>6</v>
      </c>
      <c r="P14" s="63">
        <v>12</v>
      </c>
      <c r="Q14" s="56">
        <v>77</v>
      </c>
      <c r="R14" s="63">
        <v>1</v>
      </c>
      <c r="S14" s="56">
        <v>0.16</v>
      </c>
      <c r="T14" s="56">
        <v>5.7000000000000002E-2</v>
      </c>
      <c r="U14" s="56">
        <v>0.33600000000000002</v>
      </c>
      <c r="V14" s="56">
        <v>0.1</v>
      </c>
      <c r="W14" s="56">
        <v>0</v>
      </c>
      <c r="X14" s="56">
        <v>0.56999999999999995</v>
      </c>
      <c r="Y14" s="56">
        <v>0</v>
      </c>
      <c r="Z14" s="56">
        <v>0</v>
      </c>
      <c r="AA14" s="56">
        <v>80</v>
      </c>
      <c r="AB14" s="56">
        <v>9.6999999999999993</v>
      </c>
      <c r="AC14" s="56">
        <v>3.6999999999999998E-2</v>
      </c>
      <c r="AD14" s="56">
        <v>4.1000000000000002E-2</v>
      </c>
      <c r="AE14" s="56">
        <v>0.41799999999999998</v>
      </c>
      <c r="AF14" s="56">
        <v>0.124</v>
      </c>
      <c r="AG14" s="56">
        <v>5.1999999999999998E-2</v>
      </c>
      <c r="AH14" s="56"/>
      <c r="AI14" s="56">
        <v>0</v>
      </c>
      <c r="AJ14" s="56">
        <v>6</v>
      </c>
      <c r="AK14" s="56">
        <v>19.3</v>
      </c>
      <c r="AL14" s="56">
        <v>8</v>
      </c>
      <c r="AM14" s="56">
        <v>6</v>
      </c>
      <c r="AN14" s="56">
        <v>0.2</v>
      </c>
      <c r="AO14" s="56">
        <v>3.0000000000000001E-3</v>
      </c>
      <c r="AP14" s="56">
        <v>0.02</v>
      </c>
      <c r="AQ14" s="56">
        <v>2.3E-2</v>
      </c>
      <c r="AR14" s="56">
        <v>4.3999999999999997E-2</v>
      </c>
      <c r="AS14" s="56">
        <v>1.2999999999999999E-2</v>
      </c>
      <c r="AT14" s="56">
        <v>1.2E-2</v>
      </c>
      <c r="AU14" s="56">
        <v>8.0000000000000002E-3</v>
      </c>
      <c r="AV14" s="56">
        <v>2.5999999999999999E-2</v>
      </c>
      <c r="AW14" s="56">
        <v>8.9999999999999993E-3</v>
      </c>
      <c r="AX14" s="56">
        <v>3.1E-2</v>
      </c>
      <c r="AY14" s="56">
        <v>3.6999999999999998E-2</v>
      </c>
      <c r="AZ14" s="56">
        <v>3.1E-2</v>
      </c>
      <c r="BA14" s="56">
        <v>5.7000000000000002E-2</v>
      </c>
      <c r="BB14" s="56">
        <v>9.0999999999999998E-2</v>
      </c>
      <c r="BC14" s="56">
        <v>3.1E-2</v>
      </c>
      <c r="BD14" s="56">
        <v>2.8000000000000001E-2</v>
      </c>
      <c r="BE14" s="56">
        <v>2.1999999999999999E-2</v>
      </c>
      <c r="BF14" s="56">
        <v>0</v>
      </c>
      <c r="BG14" s="56">
        <v>4.7E-2</v>
      </c>
      <c r="BH14" s="44" t="str">
        <f t="shared" si="0"/>
        <v>new food('n','Blueberries raw','Fruit','1 cup','148','0.74','0.33','14.49','0.24','57','9.96','2.4','0.28','6','12','77','1','0.16','0.057','0.336','0.1','0','0.57','0','0','80','9.7','0.037','0.041','0.418','0.124','0.052','0','6','19.3','8','6','0.2','0.003','0.02','0.023','0.044','0.013','0.012','0.008','0.026','0.009','0.031','0.037','0.031','0.057','0.091','0.031','0.028','0.022','0','0.047'),</v>
      </c>
    </row>
    <row r="15" spans="1:70" ht="13.5" customHeight="1">
      <c r="A15" s="98">
        <v>2709231</v>
      </c>
      <c r="B15" s="132" t="s">
        <v>362</v>
      </c>
      <c r="C15" s="44" t="s">
        <v>283</v>
      </c>
      <c r="D15" s="60" t="s">
        <v>87</v>
      </c>
      <c r="E15" s="60" t="s">
        <v>221</v>
      </c>
      <c r="F15" s="63"/>
      <c r="G15" s="141">
        <v>1.06</v>
      </c>
      <c r="H15" s="142">
        <v>0.2</v>
      </c>
      <c r="I15" s="141">
        <v>16.010000000000002</v>
      </c>
      <c r="J15" s="141">
        <v>0</v>
      </c>
      <c r="K15" s="142">
        <v>63</v>
      </c>
      <c r="L15" s="142">
        <v>12.82</v>
      </c>
      <c r="M15" s="145">
        <v>2.1</v>
      </c>
      <c r="N15" s="142">
        <v>0.36</v>
      </c>
      <c r="O15" s="142">
        <v>11</v>
      </c>
      <c r="P15" s="142">
        <v>21</v>
      </c>
      <c r="Q15" s="142">
        <v>222</v>
      </c>
      <c r="R15" s="142">
        <v>0</v>
      </c>
      <c r="S15" s="142">
        <v>7.0000000000000007E-2</v>
      </c>
      <c r="T15" s="142">
        <v>0.06</v>
      </c>
      <c r="U15" s="142">
        <v>0</v>
      </c>
      <c r="V15" s="142">
        <v>0</v>
      </c>
      <c r="W15" s="142">
        <v>0</v>
      </c>
      <c r="X15" s="142">
        <v>7.0000000000000007E-2</v>
      </c>
      <c r="Y15" s="142">
        <v>0</v>
      </c>
      <c r="Z15" s="142">
        <v>0</v>
      </c>
      <c r="AA15" s="142">
        <v>85</v>
      </c>
      <c r="AB15" s="142">
        <v>7</v>
      </c>
      <c r="AC15" s="142">
        <v>2.7E-2</v>
      </c>
      <c r="AD15" s="142">
        <v>3.3000000000000002E-2</v>
      </c>
      <c r="AE15" s="142">
        <v>0.154</v>
      </c>
      <c r="AF15" s="142">
        <v>0</v>
      </c>
      <c r="AG15" s="142">
        <v>4.9000000000000002E-2</v>
      </c>
      <c r="AH15" s="142"/>
      <c r="AI15" s="142">
        <v>0</v>
      </c>
      <c r="AJ15" s="142">
        <v>6.1</v>
      </c>
      <c r="AK15" s="142">
        <v>2.1</v>
      </c>
      <c r="AL15" s="142">
        <v>4</v>
      </c>
      <c r="AM15" s="145">
        <v>4</v>
      </c>
      <c r="AN15" s="142">
        <v>0</v>
      </c>
      <c r="AO15" s="146">
        <v>0</v>
      </c>
      <c r="AP15" s="142">
        <v>0</v>
      </c>
      <c r="AQ15" s="142">
        <v>0</v>
      </c>
      <c r="AR15" s="142">
        <v>0</v>
      </c>
      <c r="AS15" s="142">
        <v>0</v>
      </c>
      <c r="AT15" s="142">
        <v>0</v>
      </c>
      <c r="AU15" s="142">
        <v>0</v>
      </c>
      <c r="AV15" s="142">
        <v>0</v>
      </c>
      <c r="AW15" s="142">
        <v>0</v>
      </c>
      <c r="AX15" s="142">
        <v>0</v>
      </c>
      <c r="AY15" s="142">
        <v>0</v>
      </c>
      <c r="AZ15" s="142">
        <v>0</v>
      </c>
      <c r="BA15" s="142">
        <v>0</v>
      </c>
      <c r="BB15" s="142">
        <v>0</v>
      </c>
      <c r="BC15" s="142">
        <v>0</v>
      </c>
      <c r="BD15" s="142">
        <v>0</v>
      </c>
      <c r="BE15" s="142">
        <v>0</v>
      </c>
      <c r="BF15" s="142">
        <v>0</v>
      </c>
      <c r="BG15" s="142">
        <v>4.7E-2</v>
      </c>
      <c r="BH15" s="44" t="str">
        <f t="shared" si="0"/>
        <v>new food('n','Cherries raw','Fruit','1 cup','','1.06','0.2','16.01','0','63','12.82','2.1','0.36','11','21','222','0','0.07','0.06','0','0','0','0.07','0','0','85','7','0.027','0.033','0.154','0','0.049','0','6.1','2.1','4','4','0','0','0','0','0','0','0','0','0','0','0','0','0','0','0','0','0','0','0','0.047'),</v>
      </c>
    </row>
    <row r="16" spans="1:70" ht="15" customHeight="1">
      <c r="A16" s="101">
        <v>2341376</v>
      </c>
      <c r="B16" s="129">
        <v>1</v>
      </c>
      <c r="C16" s="45" t="s">
        <v>294</v>
      </c>
      <c r="D16" s="50" t="s">
        <v>207</v>
      </c>
      <c r="E16" s="84" t="s">
        <v>227</v>
      </c>
      <c r="F16" s="144">
        <v>80</v>
      </c>
      <c r="G16" s="141">
        <v>24.33</v>
      </c>
      <c r="H16" s="142">
        <v>4.93</v>
      </c>
      <c r="I16" s="141">
        <v>7.34</v>
      </c>
      <c r="J16" s="141">
        <v>0</v>
      </c>
      <c r="K16" s="142">
        <v>178</v>
      </c>
      <c r="L16" s="142">
        <v>5.98</v>
      </c>
      <c r="M16" s="145">
        <v>0.02</v>
      </c>
      <c r="N16" s="142">
        <v>0.48</v>
      </c>
      <c r="O16" s="142">
        <v>25</v>
      </c>
      <c r="P16" s="142">
        <v>0.187</v>
      </c>
      <c r="Q16" s="142">
        <v>0.32900000000000001</v>
      </c>
      <c r="R16" s="142">
        <v>473</v>
      </c>
      <c r="S16" s="142">
        <v>0.76</v>
      </c>
      <c r="T16" s="142">
        <v>5.0999999999999997E-2</v>
      </c>
      <c r="U16" s="142">
        <v>0</v>
      </c>
      <c r="V16" s="142">
        <v>24.7</v>
      </c>
      <c r="W16" s="142">
        <v>7</v>
      </c>
      <c r="X16" s="142">
        <v>1.07</v>
      </c>
      <c r="Y16" s="142">
        <v>0</v>
      </c>
      <c r="Z16" s="141">
        <v>0</v>
      </c>
      <c r="AA16" s="142">
        <v>16</v>
      </c>
      <c r="AB16" s="141">
        <v>0.1</v>
      </c>
      <c r="AC16" s="142">
        <v>7.4999999999999997E-2</v>
      </c>
      <c r="AD16" s="142">
        <v>0.18099999999999999</v>
      </c>
      <c r="AE16" s="142">
        <v>8.36</v>
      </c>
      <c r="AF16" s="142">
        <v>0</v>
      </c>
      <c r="AG16" s="142">
        <v>0.71099999999999997</v>
      </c>
      <c r="AH16" s="142"/>
      <c r="AI16" s="141">
        <v>0.15</v>
      </c>
      <c r="AJ16" s="142">
        <v>63</v>
      </c>
      <c r="AK16" s="142">
        <v>2.5</v>
      </c>
      <c r="AL16" s="142">
        <v>6</v>
      </c>
      <c r="AM16" s="145">
        <v>6</v>
      </c>
      <c r="AN16" s="141">
        <v>0</v>
      </c>
      <c r="AO16" s="146">
        <v>0</v>
      </c>
      <c r="AP16" s="142">
        <v>0</v>
      </c>
      <c r="AQ16" s="142">
        <v>0</v>
      </c>
      <c r="AR16" s="142">
        <v>0</v>
      </c>
      <c r="AS16" s="142">
        <v>0</v>
      </c>
      <c r="AT16" s="142">
        <v>0</v>
      </c>
      <c r="AU16" s="141">
        <v>0</v>
      </c>
      <c r="AV16" s="142">
        <v>0</v>
      </c>
      <c r="AW16" s="142">
        <v>0</v>
      </c>
      <c r="AX16" s="141">
        <v>0</v>
      </c>
      <c r="AY16" s="142">
        <v>0</v>
      </c>
      <c r="AZ16" s="142">
        <v>0</v>
      </c>
      <c r="BA16" s="141">
        <v>0</v>
      </c>
      <c r="BB16" s="141">
        <v>0</v>
      </c>
      <c r="BC16" s="142">
        <v>0</v>
      </c>
      <c r="BD16" s="142">
        <v>0</v>
      </c>
      <c r="BE16" s="142">
        <v>0</v>
      </c>
      <c r="BF16" s="141">
        <v>78</v>
      </c>
      <c r="BG16" s="142">
        <v>1.5620000000000001</v>
      </c>
      <c r="BH16" s="44" t="str">
        <f t="shared" si="0"/>
        <v>new food('1','Chicken breast baked','Entre','80 gm','80','24.33','4.93','7.34','0','178','5.98','0.02','0.48','25','0.187','0.329','473','0.76','0.051','0','24.7','7','1.07','0','0','16','0.1','0.075','0.181','8.36','0','0.711','0.15','63','2.5','6','6','0','0','0','0','0','0','0','0','0','0','0','0','0','0','0','0','0','0','78','1.562'),</v>
      </c>
    </row>
    <row r="17" spans="1:70" ht="15" customHeight="1">
      <c r="A17" s="101">
        <v>171477</v>
      </c>
      <c r="B17" s="129">
        <v>1</v>
      </c>
      <c r="C17" s="45" t="s">
        <v>295</v>
      </c>
      <c r="D17" s="84" t="s">
        <v>207</v>
      </c>
      <c r="E17" s="84" t="s">
        <v>223</v>
      </c>
      <c r="F17" s="117">
        <v>100</v>
      </c>
      <c r="G17" s="141">
        <v>31</v>
      </c>
      <c r="H17" s="142">
        <v>3.57</v>
      </c>
      <c r="I17" s="141">
        <v>0</v>
      </c>
      <c r="J17" s="141">
        <v>1.06</v>
      </c>
      <c r="K17" s="141">
        <v>165</v>
      </c>
      <c r="L17" s="141">
        <v>0</v>
      </c>
      <c r="M17" s="145">
        <v>0</v>
      </c>
      <c r="N17" s="142">
        <v>1.04</v>
      </c>
      <c r="O17" s="142">
        <v>29</v>
      </c>
      <c r="P17" s="142">
        <v>228</v>
      </c>
      <c r="Q17" s="141">
        <v>256</v>
      </c>
      <c r="R17" s="142">
        <v>74</v>
      </c>
      <c r="S17" s="142">
        <v>1</v>
      </c>
      <c r="T17" s="142">
        <v>4.9000000000000002E-2</v>
      </c>
      <c r="U17" s="142">
        <v>1.7000000000000001E-2</v>
      </c>
      <c r="V17" s="142">
        <v>27.6</v>
      </c>
      <c r="W17" s="141">
        <v>6</v>
      </c>
      <c r="X17" s="141">
        <v>0.27</v>
      </c>
      <c r="Y17" s="142">
        <v>5.0999999999999996</v>
      </c>
      <c r="Z17" s="142">
        <v>0</v>
      </c>
      <c r="AA17" s="142">
        <v>0</v>
      </c>
      <c r="AB17" s="117">
        <v>0</v>
      </c>
      <c r="AC17" s="142">
        <v>7.0000000000000007E-2</v>
      </c>
      <c r="AD17" s="142">
        <v>0.114</v>
      </c>
      <c r="AE17" s="142">
        <v>13.7</v>
      </c>
      <c r="AF17" s="142">
        <v>0.96499999999999997</v>
      </c>
      <c r="AG17" s="142">
        <v>0.6</v>
      </c>
      <c r="AH17" s="142"/>
      <c r="AI17" s="144">
        <v>0.34</v>
      </c>
      <c r="AJ17" s="141">
        <v>85.3</v>
      </c>
      <c r="AK17" s="142">
        <v>0.3</v>
      </c>
      <c r="AL17" s="142">
        <v>15</v>
      </c>
      <c r="AM17" s="145">
        <v>4</v>
      </c>
      <c r="AN17" s="141">
        <v>6.2</v>
      </c>
      <c r="AO17" s="146">
        <v>0.36199999999999999</v>
      </c>
      <c r="AP17" s="142">
        <v>1.31</v>
      </c>
      <c r="AQ17" s="142">
        <v>1.64</v>
      </c>
      <c r="AR17" s="142">
        <v>2.33</v>
      </c>
      <c r="AS17" s="142">
        <v>2.64</v>
      </c>
      <c r="AT17" s="142">
        <v>0.85899999999999999</v>
      </c>
      <c r="AU17" s="142">
        <v>0.39700000000000002</v>
      </c>
      <c r="AV17" s="141">
        <v>1.23</v>
      </c>
      <c r="AW17" s="142">
        <v>1.05</v>
      </c>
      <c r="AX17" s="141">
        <v>1.54</v>
      </c>
      <c r="AY17" s="142">
        <v>1.87</v>
      </c>
      <c r="AZ17" s="144">
        <v>1.69</v>
      </c>
      <c r="BA17" s="142">
        <v>2.76</v>
      </c>
      <c r="BB17" s="141">
        <v>4.6399999999999997</v>
      </c>
      <c r="BC17" s="142">
        <v>1.52</v>
      </c>
      <c r="BD17" s="142">
        <v>1.28</v>
      </c>
      <c r="BE17" s="142">
        <v>1.07</v>
      </c>
      <c r="BF17" s="142">
        <v>85</v>
      </c>
      <c r="BG17" s="142">
        <v>1.01</v>
      </c>
      <c r="BH17" s="44" t="str">
        <f t="shared" si="0"/>
        <v>new food('1','Chicken breast roasted','Entre','100 gm','100','31','3.57','0','1.06','165','0','0','1.04','29','228','256','74','1','0.049','0.017','27.6','6','0.27','5.1','0','0','0','0.07','0.114','13.7','0.965','0.6','0.34','85.3','0.3','15','4','6.2','0.362','1.31','1.64','2.33','2.64','0.859','0.397','1.23','1.05','1.54','1.87','1.69','2.76','4.64','1.52','1.28','1.07','85','1.01'),</v>
      </c>
    </row>
    <row r="18" spans="1:70" ht="15" customHeight="1">
      <c r="A18" s="101">
        <v>3</v>
      </c>
      <c r="B18" s="129">
        <v>4</v>
      </c>
      <c r="C18" s="44" t="s">
        <v>314</v>
      </c>
      <c r="D18" s="84" t="s">
        <v>207</v>
      </c>
      <c r="E18" s="58" t="s">
        <v>320</v>
      </c>
      <c r="F18" s="117"/>
      <c r="G18" s="117">
        <v>14.6</v>
      </c>
      <c r="H18" s="117">
        <v>8.44</v>
      </c>
      <c r="I18" s="117">
        <v>26</v>
      </c>
      <c r="J18" s="117">
        <v>0.7</v>
      </c>
      <c r="K18" s="117">
        <v>279.92</v>
      </c>
      <c r="L18" s="117">
        <v>42.34</v>
      </c>
      <c r="M18" s="147">
        <v>3.17</v>
      </c>
      <c r="N18" s="144">
        <v>1.23</v>
      </c>
      <c r="O18" s="117">
        <v>40.94</v>
      </c>
      <c r="P18" s="117">
        <v>154.36000000000001</v>
      </c>
      <c r="Q18" s="117">
        <v>385.37</v>
      </c>
      <c r="R18" s="117">
        <v>303.67</v>
      </c>
      <c r="S18" s="117">
        <v>5.45</v>
      </c>
      <c r="T18" s="117">
        <v>156.16999999999999</v>
      </c>
      <c r="U18" s="117">
        <v>2.5099999999999998</v>
      </c>
      <c r="V18" s="117">
        <v>15.33</v>
      </c>
      <c r="W18" s="117">
        <v>29.52</v>
      </c>
      <c r="X18" s="117">
        <v>1.32</v>
      </c>
      <c r="Y18" s="117">
        <v>14.5</v>
      </c>
      <c r="Z18" s="117">
        <v>25.36</v>
      </c>
      <c r="AA18" s="117">
        <v>626.9</v>
      </c>
      <c r="AB18" s="117">
        <v>25.31</v>
      </c>
      <c r="AC18" s="117">
        <v>9.42</v>
      </c>
      <c r="AD18" s="117">
        <v>5.76</v>
      </c>
      <c r="AE18" s="117">
        <v>4.05</v>
      </c>
      <c r="AF18" s="117">
        <v>0.4</v>
      </c>
      <c r="AG18" s="117">
        <v>0.38</v>
      </c>
      <c r="AH18" s="117"/>
      <c r="AI18" s="144">
        <v>0.25</v>
      </c>
      <c r="AJ18" s="144">
        <v>93.12</v>
      </c>
      <c r="AK18" s="144">
        <v>48.7</v>
      </c>
      <c r="AL18" s="117">
        <v>46.42</v>
      </c>
      <c r="AM18" s="147">
        <v>59.75</v>
      </c>
      <c r="AN18" s="117">
        <v>0.09</v>
      </c>
      <c r="AO18" s="148">
        <v>0.05</v>
      </c>
      <c r="AP18" s="117">
        <v>7.0000000000000007E-2</v>
      </c>
      <c r="AQ18" s="117">
        <v>0.19</v>
      </c>
      <c r="AR18" s="117">
        <v>0.31</v>
      </c>
      <c r="AS18" s="117">
        <v>0.26</v>
      </c>
      <c r="AT18" s="117">
        <v>0.14000000000000001</v>
      </c>
      <c r="AU18" s="117">
        <v>0.11</v>
      </c>
      <c r="AV18" s="117">
        <v>0.2</v>
      </c>
      <c r="AW18" s="117">
        <v>0.64</v>
      </c>
      <c r="AX18" s="117">
        <v>0.49</v>
      </c>
      <c r="AY18" s="117">
        <v>0.25</v>
      </c>
      <c r="AZ18" s="117">
        <v>0.08</v>
      </c>
      <c r="BA18" s="117">
        <v>0.44</v>
      </c>
      <c r="BB18" s="117">
        <v>0.45</v>
      </c>
      <c r="BC18" s="117">
        <v>0.15</v>
      </c>
      <c r="BD18" s="117">
        <v>0.19</v>
      </c>
      <c r="BE18" s="117">
        <v>1.67</v>
      </c>
      <c r="BF18" s="117">
        <v>88.5</v>
      </c>
      <c r="BG18" s="117">
        <v>2.38</v>
      </c>
      <c r="BH18" s="44" t="str">
        <f t="shared" si="0"/>
        <v>new food('4','Chicken soup homemade','Entre','1 serving','','14.6','8.44','26','0.7','279.92','42.34','3.17','1.23','40.94','154.36','385.37','303.67','5.45','156.17','2.51','15.33','29.52','1.32','14.5','25.36','626.9','25.31','9.42','5.76','4.05','0.4','0.38','0.25','93.12','48.7','46.42','59.75','0.09','0.05','0.07','0.19','0.31','0.26','0.14','0.11','0.2','0.64','0.49','0.25','0.08','0.44','0.45','0.15','0.19','1.67','88.5','2.38'),</v>
      </c>
      <c r="BI18" s="116">
        <v>0.1</v>
      </c>
      <c r="BJ18" s="116">
        <v>0.08</v>
      </c>
      <c r="BK18" s="116">
        <v>0.44</v>
      </c>
      <c r="BL18" s="116">
        <v>0.45</v>
      </c>
      <c r="BM18" s="116">
        <v>0.15</v>
      </c>
      <c r="BN18" s="116">
        <v>0.19</v>
      </c>
      <c r="BO18" s="116">
        <v>1.67</v>
      </c>
      <c r="BP18" s="116">
        <v>0.11</v>
      </c>
      <c r="BQ18" s="116">
        <v>88.5</v>
      </c>
      <c r="BR18" s="116">
        <v>2.38</v>
      </c>
    </row>
    <row r="19" spans="1:70" ht="15" customHeight="1">
      <c r="A19" s="98">
        <v>173345</v>
      </c>
      <c r="B19" s="132">
        <v>1</v>
      </c>
      <c r="C19" s="45" t="s">
        <v>297</v>
      </c>
      <c r="D19" s="50" t="s">
        <v>207</v>
      </c>
      <c r="E19" s="50">
        <v>1</v>
      </c>
      <c r="F19" s="144">
        <v>78</v>
      </c>
      <c r="G19" s="117">
        <v>8.57</v>
      </c>
      <c r="H19" s="144">
        <v>12.02</v>
      </c>
      <c r="I19" s="117">
        <v>26.96</v>
      </c>
      <c r="J19" s="117">
        <v>2.13</v>
      </c>
      <c r="K19" s="117">
        <v>250</v>
      </c>
      <c r="L19" s="117">
        <v>7.54</v>
      </c>
      <c r="M19" s="147">
        <v>1</v>
      </c>
      <c r="N19" s="117">
        <v>1.9</v>
      </c>
      <c r="O19" s="144">
        <v>17</v>
      </c>
      <c r="P19" s="144">
        <v>244</v>
      </c>
      <c r="Q19" s="117">
        <v>125</v>
      </c>
      <c r="R19" s="117">
        <v>668</v>
      </c>
      <c r="S19" s="117">
        <v>0.85</v>
      </c>
      <c r="T19" s="117">
        <v>7.1999999999999995E-2</v>
      </c>
      <c r="U19" s="117">
        <v>1.71</v>
      </c>
      <c r="V19" s="117">
        <v>27.6</v>
      </c>
      <c r="W19" s="117">
        <v>47</v>
      </c>
      <c r="X19" s="117">
        <v>0.6</v>
      </c>
      <c r="Y19" s="144">
        <v>15</v>
      </c>
      <c r="Z19" s="144">
        <v>4</v>
      </c>
      <c r="AA19" s="117">
        <v>132</v>
      </c>
      <c r="AB19" s="117">
        <v>0.5</v>
      </c>
      <c r="AC19" s="117">
        <v>0.14099999999999999</v>
      </c>
      <c r="AD19" s="117">
        <v>0.155</v>
      </c>
      <c r="AE19" s="117">
        <v>2.786</v>
      </c>
      <c r="AF19" s="117">
        <v>0.40600000000000003</v>
      </c>
      <c r="AG19" s="117">
        <v>0.11700000000000001</v>
      </c>
      <c r="AH19" s="117"/>
      <c r="AI19" s="117">
        <v>0.48</v>
      </c>
      <c r="AJ19" s="117">
        <v>26.9</v>
      </c>
      <c r="AK19" s="117">
        <v>5.8</v>
      </c>
      <c r="AL19" s="144">
        <v>72</v>
      </c>
      <c r="AM19" s="147">
        <v>97</v>
      </c>
      <c r="AN19" s="117">
        <v>0</v>
      </c>
      <c r="AO19" s="148">
        <v>8.8999999999999996E-2</v>
      </c>
      <c r="AP19" s="144">
        <v>0.27400000000000002</v>
      </c>
      <c r="AQ19" s="117">
        <v>0.32800000000000001</v>
      </c>
      <c r="AR19" s="144">
        <v>0.63</v>
      </c>
      <c r="AS19" s="117">
        <v>0.45200000000000001</v>
      </c>
      <c r="AT19" s="117">
        <v>0.14799999999999999</v>
      </c>
      <c r="AU19" s="144">
        <v>0.11700000000000001</v>
      </c>
      <c r="AV19" s="117">
        <v>0.36599999999999999</v>
      </c>
      <c r="AW19" s="117">
        <v>0.22800000000000001</v>
      </c>
      <c r="AX19" s="144">
        <v>0.40799999999999997</v>
      </c>
      <c r="AY19" s="144">
        <v>0.39100000000000001</v>
      </c>
      <c r="AZ19" s="117">
        <v>0.40300000000000002</v>
      </c>
      <c r="BA19" s="117">
        <v>0.58899999999999997</v>
      </c>
      <c r="BB19" s="117">
        <v>1.8049999999999999</v>
      </c>
      <c r="BC19" s="117">
        <v>0.41499999999999998</v>
      </c>
      <c r="BD19" s="144">
        <v>0.59599999999999997</v>
      </c>
      <c r="BE19" s="117">
        <v>0.35499999999999998</v>
      </c>
      <c r="BF19" s="117">
        <v>44</v>
      </c>
      <c r="BG19" s="117">
        <v>4.7320000000000002</v>
      </c>
      <c r="BH19" s="44" t="str">
        <f t="shared" si="0"/>
        <v>new food('1','Corn dog','Entre','1','78','8.57','12.02','26.96','2.13','250','7.54','1','1.9','17','244','125','668','0.85','0.072','1.71','27.6','47','0.6','15','4','132','0.5','0.141','0.155','2.786','0.406','0.117','0.48','26.9','5.8','72','97','0','0.089','0.274','0.328','0.63','0.452','0.148','0.117','0.366','0.228','0.408','0.391','0.403','0.589','1.805','0.415','0.596','0.355','44','4.732'),</v>
      </c>
    </row>
    <row r="20" spans="1:70" ht="14.25" customHeight="1">
      <c r="A20" s="98">
        <v>169215</v>
      </c>
      <c r="B20" s="132" t="s">
        <v>362</v>
      </c>
      <c r="C20" s="44" t="s">
        <v>104</v>
      </c>
      <c r="D20" s="50" t="s">
        <v>88</v>
      </c>
      <c r="E20" s="50" t="s">
        <v>228</v>
      </c>
      <c r="F20" s="117">
        <v>482</v>
      </c>
      <c r="G20" s="144">
        <v>1.74</v>
      </c>
      <c r="H20" s="144">
        <v>0.42</v>
      </c>
      <c r="I20" s="117">
        <v>18.13</v>
      </c>
      <c r="J20" s="117">
        <v>0.98</v>
      </c>
      <c r="K20" s="144">
        <v>72</v>
      </c>
      <c r="L20" s="144">
        <v>3.23</v>
      </c>
      <c r="M20" s="144">
        <v>1.2</v>
      </c>
      <c r="N20" s="117">
        <v>0.38</v>
      </c>
      <c r="O20" s="117">
        <v>17</v>
      </c>
      <c r="P20" s="117">
        <v>51</v>
      </c>
      <c r="Q20" s="117">
        <v>134</v>
      </c>
      <c r="R20" s="117">
        <v>261</v>
      </c>
      <c r="S20" s="144">
        <v>0.53</v>
      </c>
      <c r="T20" s="144">
        <v>5.1999999999999998E-2</v>
      </c>
      <c r="U20" s="144">
        <v>6.8000000000000005E-2</v>
      </c>
      <c r="V20" s="144">
        <v>0.04</v>
      </c>
      <c r="W20" s="117">
        <v>0</v>
      </c>
      <c r="X20" s="117">
        <v>7.0000000000000007E-2</v>
      </c>
      <c r="Y20" s="117">
        <v>0</v>
      </c>
      <c r="Z20" s="117">
        <v>6</v>
      </c>
      <c r="AA20" s="117">
        <v>949</v>
      </c>
      <c r="AB20" s="117">
        <v>4.5999999999999996</v>
      </c>
      <c r="AC20" s="117">
        <v>2.5000000000000001E-2</v>
      </c>
      <c r="AD20" s="117">
        <v>5.2999999999999999E-2</v>
      </c>
      <c r="AE20" s="117">
        <v>0.96</v>
      </c>
      <c r="AF20" s="144">
        <v>0.18</v>
      </c>
      <c r="AG20" s="144">
        <v>6.3E-2</v>
      </c>
      <c r="AH20" s="144"/>
      <c r="AI20" s="117">
        <v>0</v>
      </c>
      <c r="AJ20" s="144">
        <v>20.3</v>
      </c>
      <c r="AK20" s="117">
        <v>0</v>
      </c>
      <c r="AL20" s="144">
        <v>3</v>
      </c>
      <c r="AM20" s="144">
        <v>45</v>
      </c>
      <c r="AN20" s="144">
        <v>0</v>
      </c>
      <c r="AO20" s="144">
        <v>1.2E-2</v>
      </c>
      <c r="AP20" s="117">
        <v>7.0000000000000007E-2</v>
      </c>
      <c r="AQ20" s="117">
        <v>7.0000000000000007E-2</v>
      </c>
      <c r="AR20" s="117">
        <v>0.188</v>
      </c>
      <c r="AS20" s="117">
        <v>7.3999999999999996E-2</v>
      </c>
      <c r="AT20" s="117">
        <v>3.5999999999999997E-2</v>
      </c>
      <c r="AU20" s="144">
        <v>1.4E-2</v>
      </c>
      <c r="AV20" s="117">
        <v>8.1000000000000003E-2</v>
      </c>
      <c r="AW20" s="117">
        <v>6.6000000000000003E-2</v>
      </c>
      <c r="AX20" s="117">
        <v>0.1</v>
      </c>
      <c r="AY20" s="144">
        <v>7.0999999999999994E-2</v>
      </c>
      <c r="AZ20" s="117">
        <v>0.159</v>
      </c>
      <c r="BA20" s="117">
        <v>0.13200000000000001</v>
      </c>
      <c r="BB20" s="117">
        <v>0.34300000000000003</v>
      </c>
      <c r="BC20" s="144">
        <v>6.8000000000000005E-2</v>
      </c>
      <c r="BD20" s="144">
        <v>0.158</v>
      </c>
      <c r="BE20" s="144">
        <v>8.3000000000000004E-2</v>
      </c>
      <c r="BF20" s="117">
        <v>0</v>
      </c>
      <c r="BG20" s="117">
        <v>0.123</v>
      </c>
      <c r="BH20" s="44" t="str">
        <f t="shared" si="0"/>
        <v>new food('n','Corn sweet yellow canned cream style','Veg','1 can','482','1.74','0.42','18.13','0.98','72','3.23','1.2','0.38','17','51','134','261','0.53','0.052','0.068','0.04','0','0.07','0','6','949','4.6','0.025','0.053','0.96','0.18','0.063','0','20.3','0','3','45','0','0.012','0.07','0.07','0.188','0.074','0.036','0.014','0.081','0.066','0.1','0.071','0.159','0.132','0.343','0.068','0.158','0.083','0','0.123'),</v>
      </c>
    </row>
    <row r="21" spans="1:70" ht="15" customHeight="1">
      <c r="A21" s="98">
        <v>168399</v>
      </c>
      <c r="B21" s="132" t="s">
        <v>362</v>
      </c>
      <c r="C21" s="44" t="s">
        <v>106</v>
      </c>
      <c r="D21" s="50" t="s">
        <v>88</v>
      </c>
      <c r="E21" s="50" t="s">
        <v>221</v>
      </c>
      <c r="F21" s="117">
        <v>165</v>
      </c>
      <c r="G21" s="144">
        <v>2.5499999999999998</v>
      </c>
      <c r="H21" s="117">
        <v>0.67</v>
      </c>
      <c r="I21" s="117">
        <v>19.3</v>
      </c>
      <c r="J21" s="117">
        <v>0.44</v>
      </c>
      <c r="K21" s="117">
        <v>338</v>
      </c>
      <c r="L21" s="117">
        <v>3.07</v>
      </c>
      <c r="M21" s="144">
        <v>2.4</v>
      </c>
      <c r="N21" s="117">
        <v>0.47</v>
      </c>
      <c r="O21" s="117">
        <v>28</v>
      </c>
      <c r="P21" s="144">
        <v>79</v>
      </c>
      <c r="Q21" s="117">
        <v>233</v>
      </c>
      <c r="R21" s="117">
        <v>1</v>
      </c>
      <c r="S21" s="144">
        <v>0.63</v>
      </c>
      <c r="T21" s="117">
        <v>4.8000000000000001E-2</v>
      </c>
      <c r="U21" s="117">
        <v>0.155</v>
      </c>
      <c r="V21" s="117">
        <v>0.7</v>
      </c>
      <c r="W21" s="117">
        <v>0</v>
      </c>
      <c r="X21" s="117">
        <v>7.0000000000000007E-2</v>
      </c>
      <c r="Y21" s="117">
        <v>0</v>
      </c>
      <c r="Z21" s="117">
        <v>122</v>
      </c>
      <c r="AA21" s="117">
        <v>684</v>
      </c>
      <c r="AB21" s="117">
        <v>3.5</v>
      </c>
      <c r="AC21" s="117">
        <v>0.03</v>
      </c>
      <c r="AD21" s="117">
        <v>6.2E-2</v>
      </c>
      <c r="AE21" s="117">
        <v>1.3109999999999999</v>
      </c>
      <c r="AF21" s="144">
        <v>0.151</v>
      </c>
      <c r="AG21" s="117">
        <v>9.9000000000000005E-2</v>
      </c>
      <c r="AH21" s="117"/>
      <c r="AI21" s="117">
        <v>0</v>
      </c>
      <c r="AJ21" s="117">
        <v>22</v>
      </c>
      <c r="AK21" s="117">
        <v>0.3</v>
      </c>
      <c r="AL21" s="117">
        <v>3</v>
      </c>
      <c r="AM21" s="117">
        <v>35</v>
      </c>
      <c r="AN21" s="117">
        <v>0.2</v>
      </c>
      <c r="AO21" s="144">
        <v>3.1E-2</v>
      </c>
      <c r="AP21" s="117">
        <v>0.115</v>
      </c>
      <c r="AQ21" s="117">
        <v>0.13700000000000001</v>
      </c>
      <c r="AR21" s="144">
        <v>0.251</v>
      </c>
      <c r="AS21" s="117">
        <v>0.153</v>
      </c>
      <c r="AT21" s="117">
        <v>6.8000000000000005E-2</v>
      </c>
      <c r="AU21" s="117">
        <v>3.7999999999999999E-2</v>
      </c>
      <c r="AV21" s="117">
        <v>0.13100000000000001</v>
      </c>
      <c r="AW21" s="117">
        <v>0.106</v>
      </c>
      <c r="AX21" s="117">
        <v>0.16700000000000001</v>
      </c>
      <c r="AY21" s="117">
        <v>0.126</v>
      </c>
      <c r="AZ21" s="144">
        <v>0.17199999999999999</v>
      </c>
      <c r="BA21" s="144">
        <v>0.219</v>
      </c>
      <c r="BB21" s="117">
        <v>0.438</v>
      </c>
      <c r="BC21" s="117">
        <v>8.5000000000000006E-2</v>
      </c>
      <c r="BD21" s="117">
        <v>0.18099999999999999</v>
      </c>
      <c r="BE21" s="117">
        <v>0.156</v>
      </c>
      <c r="BF21" s="117">
        <v>0</v>
      </c>
      <c r="BG21" s="117">
        <v>0.19700000000000001</v>
      </c>
      <c r="BH21" s="44" t="str">
        <f t="shared" si="0"/>
        <v>new food('n','Corn sweet yellow frozen ','Veg','1 cup','165','2.55','0.67','19.3','0.44','338','3.07','2.4','0.47','28','79','233','1','0.63','0.048','0.155','0.7','0','0.07','0','122','684','3.5','0.03','0.062','1.311','0.151','0.099','0','22','0.3','3','35','0.2','0.031','0.115','0.137','0.251','0.153','0.068','0.038','0.131','0.106','0.167','0.126','0.172','0.219','0.438','0.085','0.181','0.156','0','0.197'),</v>
      </c>
    </row>
    <row r="22" spans="1:70" ht="15" customHeight="1">
      <c r="A22" s="98">
        <v>171109</v>
      </c>
      <c r="B22" s="132">
        <v>1</v>
      </c>
      <c r="C22" s="44" t="s">
        <v>296</v>
      </c>
      <c r="D22" s="50" t="s">
        <v>207</v>
      </c>
      <c r="E22" s="89" t="s">
        <v>265</v>
      </c>
      <c r="F22" s="144"/>
      <c r="G22" s="141">
        <v>23.3</v>
      </c>
      <c r="H22" s="142">
        <v>3.87</v>
      </c>
      <c r="I22" s="141">
        <v>0</v>
      </c>
      <c r="J22" s="142">
        <v>0</v>
      </c>
      <c r="K22" s="142">
        <v>134</v>
      </c>
      <c r="L22" s="141">
        <v>0</v>
      </c>
      <c r="M22" s="142">
        <v>0</v>
      </c>
      <c r="N22" s="142">
        <v>0.77</v>
      </c>
      <c r="O22" s="142">
        <v>19</v>
      </c>
      <c r="P22" s="141">
        <v>149</v>
      </c>
      <c r="Q22" s="141">
        <v>250</v>
      </c>
      <c r="R22" s="141">
        <v>63</v>
      </c>
      <c r="S22" s="142">
        <v>1.53</v>
      </c>
      <c r="T22" s="141">
        <v>0.05</v>
      </c>
      <c r="U22" s="141">
        <v>0</v>
      </c>
      <c r="V22" s="142">
        <v>20.8</v>
      </c>
      <c r="W22" s="141">
        <v>20</v>
      </c>
      <c r="X22" s="141">
        <v>0.24</v>
      </c>
      <c r="Y22" s="142">
        <v>0</v>
      </c>
      <c r="Z22" s="141">
        <v>0</v>
      </c>
      <c r="AA22" s="141">
        <v>0</v>
      </c>
      <c r="AB22" s="142">
        <v>0.6</v>
      </c>
      <c r="AC22" s="141">
        <v>7.4999999999999997E-2</v>
      </c>
      <c r="AD22" s="141">
        <v>0.22700000000000001</v>
      </c>
      <c r="AE22" s="141">
        <v>6.2729999999999997</v>
      </c>
      <c r="AF22" s="141">
        <v>0</v>
      </c>
      <c r="AG22" s="141">
        <v>0.35799999999999998</v>
      </c>
      <c r="AH22" s="141"/>
      <c r="AI22" s="142">
        <v>0.3</v>
      </c>
      <c r="AJ22" s="142">
        <v>66.3</v>
      </c>
      <c r="AK22" s="142">
        <v>2.4</v>
      </c>
      <c r="AL22" s="142">
        <v>2</v>
      </c>
      <c r="AM22" s="142">
        <v>2</v>
      </c>
      <c r="AN22" s="142">
        <v>0</v>
      </c>
      <c r="AO22" s="142">
        <v>0</v>
      </c>
      <c r="AP22" s="142">
        <v>0</v>
      </c>
      <c r="AQ22" s="142">
        <v>0</v>
      </c>
      <c r="AR22" s="142">
        <v>0</v>
      </c>
      <c r="AS22" s="142">
        <v>0</v>
      </c>
      <c r="AT22" s="142">
        <v>0</v>
      </c>
      <c r="AU22" s="142">
        <v>0</v>
      </c>
      <c r="AV22" s="142">
        <v>0</v>
      </c>
      <c r="AW22" s="142">
        <v>0</v>
      </c>
      <c r="AX22" s="141">
        <v>0</v>
      </c>
      <c r="AY22" s="142">
        <v>0</v>
      </c>
      <c r="AZ22" s="142">
        <v>0</v>
      </c>
      <c r="BA22" s="142">
        <v>0</v>
      </c>
      <c r="BB22" s="142">
        <v>0</v>
      </c>
      <c r="BC22" s="142">
        <v>0</v>
      </c>
      <c r="BD22" s="142">
        <v>0</v>
      </c>
      <c r="BE22" s="142">
        <v>0</v>
      </c>
      <c r="BF22" s="142">
        <v>106</v>
      </c>
      <c r="BG22" s="141">
        <v>1.24</v>
      </c>
      <c r="BH22" s="44" t="str">
        <f t="shared" si="0"/>
        <v>new food('1','Cornish game hen','Entre','1 hen','','23.3','3.87','0','0','134','0','0','0.77','19','149','250','63','1.53','0.05','0','20.8','20','0.24','0','0','0','0.6','0.075','0.227','6.273','0','0.358','0.3','66.3','2.4','2','2','0','0','0','0','0','0','0','0','0','0','0','0','0','0','0','0','0','0','106','1.24'),</v>
      </c>
    </row>
    <row r="23" spans="1:70" ht="15" customHeight="1">
      <c r="A23" s="98">
        <v>169700</v>
      </c>
      <c r="B23" s="132" t="s">
        <v>362</v>
      </c>
      <c r="C23" s="45" t="s">
        <v>209</v>
      </c>
      <c r="D23" s="50" t="s">
        <v>279</v>
      </c>
      <c r="E23" s="50" t="s">
        <v>221</v>
      </c>
      <c r="F23" s="117"/>
      <c r="G23" s="142">
        <v>3.79</v>
      </c>
      <c r="H23" s="142">
        <v>0.16</v>
      </c>
      <c r="I23" s="142">
        <v>23.22</v>
      </c>
      <c r="J23" s="142">
        <v>0</v>
      </c>
      <c r="K23" s="142">
        <v>112</v>
      </c>
      <c r="L23" s="142">
        <v>0.1</v>
      </c>
      <c r="M23" s="142">
        <v>1.4</v>
      </c>
      <c r="N23" s="142">
        <v>0.38</v>
      </c>
      <c r="O23" s="142">
        <v>8</v>
      </c>
      <c r="P23" s="142">
        <v>22</v>
      </c>
      <c r="Q23" s="142">
        <v>58</v>
      </c>
      <c r="R23" s="142">
        <v>5</v>
      </c>
      <c r="S23" s="142">
        <v>0.26</v>
      </c>
      <c r="T23" s="142">
        <v>4.1000000000000002E-2</v>
      </c>
      <c r="U23" s="142">
        <v>0</v>
      </c>
      <c r="V23" s="142">
        <v>27.5</v>
      </c>
      <c r="W23" s="142">
        <v>0</v>
      </c>
      <c r="X23" s="142">
        <v>0.13</v>
      </c>
      <c r="Y23" s="142">
        <v>0</v>
      </c>
      <c r="Z23" s="142">
        <v>0</v>
      </c>
      <c r="AA23" s="142">
        <v>25</v>
      </c>
      <c r="AB23" s="142">
        <v>0</v>
      </c>
      <c r="AC23" s="142">
        <v>6.3E-2</v>
      </c>
      <c r="AD23" s="142">
        <v>2.7E-2</v>
      </c>
      <c r="AE23" s="142">
        <v>0.98299999999999998</v>
      </c>
      <c r="AF23" s="142">
        <v>0</v>
      </c>
      <c r="AG23" s="142">
        <v>5.0999999999999997E-2</v>
      </c>
      <c r="AH23" s="142"/>
      <c r="AI23" s="142">
        <v>0</v>
      </c>
      <c r="AJ23" s="142">
        <v>3.3</v>
      </c>
      <c r="AK23" s="142">
        <v>0.1</v>
      </c>
      <c r="AL23" s="142">
        <v>15</v>
      </c>
      <c r="AM23" s="142">
        <v>15</v>
      </c>
      <c r="AN23" s="142">
        <v>0</v>
      </c>
      <c r="AO23" s="142">
        <v>0</v>
      </c>
      <c r="AP23" s="142">
        <v>0</v>
      </c>
      <c r="AQ23" s="142">
        <v>0</v>
      </c>
      <c r="AR23" s="142">
        <v>0</v>
      </c>
      <c r="AS23" s="142">
        <v>0</v>
      </c>
      <c r="AT23" s="142">
        <v>0</v>
      </c>
      <c r="AU23" s="142">
        <v>0</v>
      </c>
      <c r="AV23" s="142">
        <v>0</v>
      </c>
      <c r="AW23" s="142">
        <v>0</v>
      </c>
      <c r="AX23" s="142">
        <v>0</v>
      </c>
      <c r="AY23" s="142">
        <v>0</v>
      </c>
      <c r="AZ23" s="142">
        <v>0</v>
      </c>
      <c r="BA23" s="142">
        <v>0</v>
      </c>
      <c r="BB23" s="142">
        <v>0</v>
      </c>
      <c r="BC23" s="141">
        <v>0</v>
      </c>
      <c r="BD23" s="141">
        <v>0</v>
      </c>
      <c r="BE23" s="141">
        <v>0</v>
      </c>
      <c r="BF23" s="142">
        <v>0</v>
      </c>
      <c r="BG23" s="142">
        <v>2.1999999999999999E-2</v>
      </c>
      <c r="BH23" s="44" t="str">
        <f t="shared" si="0"/>
        <v>new food('n','Couscous, cooked','Grain','1 cup','','3.79','0.16','23.22','0','112','0.1','1.4','0.38','8','22','58','5','0.26','0.041','0','27.5','0','0.13','0','0','25','0','0.063','0.027','0.983','0','0.051','0','3.3','0.1','15','15','0','0','0','0','0','0','0','0','0','0','0','0','0','0','0','0','0','0','0','0.022'),</v>
      </c>
    </row>
    <row r="24" spans="1:70" ht="15" customHeight="1">
      <c r="A24" s="99">
        <v>173424</v>
      </c>
      <c r="B24" s="127">
        <v>1</v>
      </c>
      <c r="C24" s="61" t="s">
        <v>84</v>
      </c>
      <c r="D24" s="50" t="s">
        <v>207</v>
      </c>
      <c r="E24" s="60" t="s">
        <v>229</v>
      </c>
      <c r="F24" s="63">
        <v>50</v>
      </c>
      <c r="G24" s="63">
        <v>12.58</v>
      </c>
      <c r="H24" s="63">
        <v>10.61</v>
      </c>
      <c r="I24" s="56">
        <v>1.1200000000000001</v>
      </c>
      <c r="J24" s="56">
        <v>1.08</v>
      </c>
      <c r="K24" s="56">
        <v>155</v>
      </c>
      <c r="L24" s="56">
        <v>1.1200000000000001</v>
      </c>
      <c r="M24" s="63">
        <v>0</v>
      </c>
      <c r="N24" s="63">
        <v>1.19</v>
      </c>
      <c r="O24" s="63">
        <v>10</v>
      </c>
      <c r="P24" s="63">
        <v>172</v>
      </c>
      <c r="Q24" s="63">
        <v>126</v>
      </c>
      <c r="R24" s="63">
        <v>124</v>
      </c>
      <c r="S24" s="56">
        <v>1.05</v>
      </c>
      <c r="T24" s="63">
        <v>1.2999999999999999E-2</v>
      </c>
      <c r="U24" s="63">
        <v>2.5999999999999999E-2</v>
      </c>
      <c r="V24" s="63">
        <v>30.8</v>
      </c>
      <c r="W24" s="63">
        <v>148</v>
      </c>
      <c r="X24" s="63">
        <v>1.03</v>
      </c>
      <c r="Y24" s="63">
        <v>87</v>
      </c>
      <c r="Z24" s="63">
        <v>10</v>
      </c>
      <c r="AA24" s="63">
        <v>353</v>
      </c>
      <c r="AB24" s="63">
        <v>0</v>
      </c>
      <c r="AC24" s="63">
        <v>6.6000000000000003E-2</v>
      </c>
      <c r="AD24" s="63">
        <v>0.51300000000000001</v>
      </c>
      <c r="AE24" s="63">
        <v>6.4000000000000001E-2</v>
      </c>
      <c r="AF24" s="63">
        <v>1.3979999999999999</v>
      </c>
      <c r="AG24" s="63">
        <v>0.121</v>
      </c>
      <c r="AH24" s="63"/>
      <c r="AI24" s="63">
        <v>1.1299999999999999</v>
      </c>
      <c r="AJ24" s="63">
        <v>293.8</v>
      </c>
      <c r="AK24" s="56">
        <v>0.3</v>
      </c>
      <c r="AL24" s="63">
        <v>50</v>
      </c>
      <c r="AM24" s="63">
        <v>44</v>
      </c>
      <c r="AN24" s="63">
        <v>0.06</v>
      </c>
      <c r="AO24" s="56">
        <v>0.153</v>
      </c>
      <c r="AP24" s="63">
        <v>0</v>
      </c>
      <c r="AQ24" s="63">
        <v>0.68600000000000005</v>
      </c>
      <c r="AR24" s="63">
        <v>1.075</v>
      </c>
      <c r="AS24" s="63">
        <v>0.90400000000000003</v>
      </c>
      <c r="AT24" s="63">
        <v>0.39200000000000002</v>
      </c>
      <c r="AU24" s="63">
        <v>0.29199999999999998</v>
      </c>
      <c r="AV24" s="63">
        <v>0.66800000000000004</v>
      </c>
      <c r="AW24" s="63">
        <v>0.51300000000000001</v>
      </c>
      <c r="AX24" s="63">
        <v>0.76700000000000002</v>
      </c>
      <c r="AY24" s="56">
        <v>0.755</v>
      </c>
      <c r="AZ24" s="63">
        <v>7.0000000000000007E-2</v>
      </c>
      <c r="BA24" s="63">
        <v>1.264</v>
      </c>
      <c r="BB24" s="63">
        <v>1.044</v>
      </c>
      <c r="BC24" s="56">
        <v>0.42299999999999999</v>
      </c>
      <c r="BD24" s="56">
        <v>0.501</v>
      </c>
      <c r="BE24" s="56">
        <v>0.93600000000000005</v>
      </c>
      <c r="BF24" s="63">
        <v>373</v>
      </c>
      <c r="BG24" s="63">
        <v>4.077</v>
      </c>
      <c r="BH24" s="44" t="str">
        <f t="shared" si="0"/>
        <v>new food('1','Egg whole cooked hard-boiled','Entre','1 lg','50','12.58','10.61','1.12','1.08','155','1.12','0','1.19','10','172','126','124','1.05','0.013','0.026','30.8','148','1.03','87','10','353','0','0.066','0.513','0.064','1.398','0.121','1.13','293.8','0.3','50','44','0.06','0.153','0','0.686','1.075','0.904','0.392','0.292','0.668','0.513','0.767','0.755','0.07','1.264','1.044','0.423','0.501','0.936','373','4.077'),</v>
      </c>
    </row>
    <row r="25" spans="1:70" ht="15" customHeight="1">
      <c r="A25" s="98">
        <v>171956</v>
      </c>
      <c r="B25" s="132">
        <v>1</v>
      </c>
      <c r="C25" s="45" t="s">
        <v>298</v>
      </c>
      <c r="D25" s="60" t="s">
        <v>207</v>
      </c>
      <c r="E25" s="60"/>
      <c r="F25" s="63">
        <v>100</v>
      </c>
      <c r="G25" s="141">
        <v>22.83</v>
      </c>
      <c r="H25" s="142">
        <v>0.86</v>
      </c>
      <c r="I25" s="141">
        <v>0</v>
      </c>
      <c r="J25" s="141">
        <v>0</v>
      </c>
      <c r="K25" s="142">
        <v>105</v>
      </c>
      <c r="L25" s="142">
        <v>0</v>
      </c>
      <c r="M25" s="142">
        <v>0</v>
      </c>
      <c r="N25" s="142">
        <v>0.49</v>
      </c>
      <c r="O25" s="142">
        <v>42</v>
      </c>
      <c r="P25" s="142">
        <v>138</v>
      </c>
      <c r="Q25" s="142">
        <v>244</v>
      </c>
      <c r="R25" s="142">
        <v>78</v>
      </c>
      <c r="S25" s="142">
        <v>0.57999999999999996</v>
      </c>
      <c r="T25" s="142">
        <v>3.5999999999999997E-2</v>
      </c>
      <c r="U25" s="142">
        <v>0</v>
      </c>
      <c r="V25" s="142">
        <v>37.6</v>
      </c>
      <c r="W25" s="142">
        <v>14</v>
      </c>
      <c r="X25" s="142">
        <v>0.81</v>
      </c>
      <c r="Y25" s="142">
        <v>0</v>
      </c>
      <c r="Z25" s="142">
        <v>0</v>
      </c>
      <c r="AA25" s="142">
        <v>0</v>
      </c>
      <c r="AB25" s="142">
        <v>1</v>
      </c>
      <c r="AC25" s="142">
        <v>8.7999999999999995E-2</v>
      </c>
      <c r="AD25" s="142">
        <v>7.9000000000000001E-2</v>
      </c>
      <c r="AE25" s="142">
        <v>2.5129999999999999</v>
      </c>
      <c r="AF25" s="142">
        <v>0</v>
      </c>
      <c r="AG25" s="142">
        <v>0.28299999999999997</v>
      </c>
      <c r="AH25" s="142"/>
      <c r="AI25" s="141">
        <v>1.05</v>
      </c>
      <c r="AJ25" s="141">
        <v>83.7</v>
      </c>
      <c r="AK25" s="141">
        <v>0.1</v>
      </c>
      <c r="AL25" s="142">
        <v>8</v>
      </c>
      <c r="AM25" s="141">
        <v>8</v>
      </c>
      <c r="AN25" s="141">
        <v>0</v>
      </c>
      <c r="AO25" s="141">
        <v>0</v>
      </c>
      <c r="AP25" s="142">
        <v>0</v>
      </c>
      <c r="AQ25" s="142">
        <v>0</v>
      </c>
      <c r="AR25" s="142">
        <v>0</v>
      </c>
      <c r="AS25" s="142">
        <v>0</v>
      </c>
      <c r="AT25" s="142">
        <v>0</v>
      </c>
      <c r="AU25" s="142">
        <v>0</v>
      </c>
      <c r="AV25" s="142">
        <v>0</v>
      </c>
      <c r="AW25" s="142">
        <v>0</v>
      </c>
      <c r="AX25" s="142">
        <v>0</v>
      </c>
      <c r="AY25" s="142">
        <v>0</v>
      </c>
      <c r="AZ25" s="142">
        <v>0</v>
      </c>
      <c r="BA25" s="142">
        <v>0</v>
      </c>
      <c r="BB25" s="142">
        <v>0</v>
      </c>
      <c r="BC25" s="142">
        <v>0</v>
      </c>
      <c r="BD25" s="142">
        <v>0</v>
      </c>
      <c r="BE25" s="142">
        <v>0</v>
      </c>
      <c r="BF25" s="141">
        <v>5</v>
      </c>
      <c r="BG25" s="142">
        <v>0.124</v>
      </c>
      <c r="BH25" s="44" t="str">
        <f t="shared" si="0"/>
        <v>new food('1','Fish Atlantic cod','Entre','','100','22.83','0.86','0','0','105','0','0','0.49','42','138','244','78','0.58','0.036','0','37.6','14','0.81','0','0','0','1','0.088','0.079','2.513','0','0.283','1.05','83.7','0.1','8','8','0','0','0','0','0','0','0','0','0','0','0','0','0','0','0','0','0','0','5','0.124'),</v>
      </c>
    </row>
    <row r="26" spans="1:70" ht="15" customHeight="1">
      <c r="A26" s="98">
        <v>2709165</v>
      </c>
      <c r="B26" s="132" t="s">
        <v>362</v>
      </c>
      <c r="C26" s="44" t="s">
        <v>284</v>
      </c>
      <c r="D26" s="50" t="s">
        <v>87</v>
      </c>
      <c r="E26" s="60"/>
      <c r="F26" s="63">
        <v>100</v>
      </c>
      <c r="G26" s="141">
        <v>0.77</v>
      </c>
      <c r="H26" s="142">
        <v>0.14000000000000001</v>
      </c>
      <c r="I26" s="142">
        <v>10.66</v>
      </c>
      <c r="J26" s="142">
        <v>0</v>
      </c>
      <c r="K26" s="142">
        <v>42</v>
      </c>
      <c r="L26" s="142">
        <v>6.89</v>
      </c>
      <c r="M26" s="141">
        <v>1.6</v>
      </c>
      <c r="N26" s="141">
        <v>0.08</v>
      </c>
      <c r="O26" s="141">
        <v>9</v>
      </c>
      <c r="P26" s="142">
        <v>18</v>
      </c>
      <c r="Q26" s="142">
        <v>135</v>
      </c>
      <c r="R26" s="142">
        <v>0</v>
      </c>
      <c r="S26" s="142">
        <v>7.0000000000000007E-2</v>
      </c>
      <c r="T26" s="142">
        <v>3.2000000000000001E-2</v>
      </c>
      <c r="U26" s="142">
        <v>0</v>
      </c>
      <c r="V26" s="142">
        <v>0.1</v>
      </c>
      <c r="W26" s="142">
        <v>0</v>
      </c>
      <c r="X26" s="142">
        <v>0.13</v>
      </c>
      <c r="Y26" s="142">
        <v>0</v>
      </c>
      <c r="Z26" s="142">
        <v>6</v>
      </c>
      <c r="AA26" s="142">
        <v>5</v>
      </c>
      <c r="AB26" s="142">
        <v>31.2</v>
      </c>
      <c r="AC26" s="142">
        <v>4.2999999999999997E-2</v>
      </c>
      <c r="AD26" s="142">
        <v>3.1E-2</v>
      </c>
      <c r="AE26" s="142">
        <v>0.20399999999999999</v>
      </c>
      <c r="AF26" s="142">
        <v>0</v>
      </c>
      <c r="AG26" s="142">
        <v>5.2999999999999999E-2</v>
      </c>
      <c r="AH26" s="142"/>
      <c r="AI26" s="141">
        <v>0</v>
      </c>
      <c r="AJ26" s="141">
        <v>7.7</v>
      </c>
      <c r="AK26" s="141">
        <v>0</v>
      </c>
      <c r="AL26" s="142">
        <v>13</v>
      </c>
      <c r="AM26" s="141">
        <v>13</v>
      </c>
      <c r="AN26" s="141">
        <v>0</v>
      </c>
      <c r="AO26" s="141">
        <v>0</v>
      </c>
      <c r="AP26" s="142">
        <v>0</v>
      </c>
      <c r="AQ26" s="142">
        <v>0</v>
      </c>
      <c r="AR26" s="142">
        <v>0</v>
      </c>
      <c r="AS26" s="142">
        <v>0</v>
      </c>
      <c r="AT26" s="142">
        <v>0</v>
      </c>
      <c r="AU26" s="142">
        <v>0</v>
      </c>
      <c r="AV26" s="142">
        <v>0</v>
      </c>
      <c r="AW26" s="142">
        <v>0</v>
      </c>
      <c r="AX26" s="142">
        <v>0</v>
      </c>
      <c r="AY26" s="142">
        <v>0</v>
      </c>
      <c r="AZ26" s="142">
        <v>0</v>
      </c>
      <c r="BA26" s="142">
        <v>0</v>
      </c>
      <c r="BB26" s="142">
        <v>0</v>
      </c>
      <c r="BC26" s="142">
        <v>0</v>
      </c>
      <c r="BD26" s="142">
        <v>0</v>
      </c>
      <c r="BE26" s="142">
        <v>0</v>
      </c>
      <c r="BF26" s="141">
        <v>0</v>
      </c>
      <c r="BG26" s="142">
        <v>0.02</v>
      </c>
      <c r="BH26" s="44" t="str">
        <f t="shared" si="0"/>
        <v>new food('n','Grapefruit','Fruit','','100','0.77','0.14','10.66','0','42','6.89','1.6','0.08','9','18','135','0','0.07','0.032','0','0.1','0','0.13','0','6','5','31.2','0.043','0.031','0.204','0','0.053','0','7.7','0','13','13','0','0','0','0','0','0','0','0','0','0','0','0','0','0','0','0','0','0','0','0.02'),</v>
      </c>
    </row>
    <row r="27" spans="1:70" ht="15" customHeight="1">
      <c r="A27" s="98">
        <v>2709213</v>
      </c>
      <c r="B27" s="132" t="s">
        <v>362</v>
      </c>
      <c r="C27" s="44" t="s">
        <v>274</v>
      </c>
      <c r="D27" s="50" t="s">
        <v>87</v>
      </c>
      <c r="E27" s="58"/>
      <c r="F27" s="117">
        <v>15</v>
      </c>
      <c r="G27" s="117">
        <v>0.68</v>
      </c>
      <c r="H27" s="117">
        <v>0.21</v>
      </c>
      <c r="I27" s="117">
        <v>16.239999999999998</v>
      </c>
      <c r="J27" s="117">
        <v>0</v>
      </c>
      <c r="K27" s="117">
        <v>68</v>
      </c>
      <c r="L27" s="117">
        <v>12</v>
      </c>
      <c r="M27" s="117">
        <v>1.8</v>
      </c>
      <c r="N27" s="117">
        <v>0.12</v>
      </c>
      <c r="O27" s="117">
        <v>14</v>
      </c>
      <c r="P27" s="117">
        <v>18</v>
      </c>
      <c r="Q27" s="117">
        <v>206</v>
      </c>
      <c r="R27" s="117">
        <v>1</v>
      </c>
      <c r="S27" s="117">
        <v>0.09</v>
      </c>
      <c r="T27" s="117">
        <v>6.0999999999999999E-2</v>
      </c>
      <c r="U27" s="117">
        <v>0</v>
      </c>
      <c r="V27" s="117">
        <v>0.2</v>
      </c>
      <c r="W27" s="117">
        <v>0</v>
      </c>
      <c r="X27" s="117">
        <v>0.18</v>
      </c>
      <c r="Y27" s="117">
        <v>0</v>
      </c>
      <c r="Z27" s="117">
        <v>24</v>
      </c>
      <c r="AA27" s="117">
        <v>49</v>
      </c>
      <c r="AB27" s="117">
        <v>19.8</v>
      </c>
      <c r="AC27" s="117">
        <v>0.05</v>
      </c>
      <c r="AD27" s="117">
        <v>0.26</v>
      </c>
      <c r="AE27" s="117">
        <v>0.35599999999999998</v>
      </c>
      <c r="AF27" s="117">
        <v>0</v>
      </c>
      <c r="AG27" s="117">
        <v>0.10100000000000001</v>
      </c>
      <c r="AH27" s="117"/>
      <c r="AI27" s="144">
        <v>0</v>
      </c>
      <c r="AJ27" s="144">
        <v>6.8</v>
      </c>
      <c r="AK27" s="144">
        <v>0</v>
      </c>
      <c r="AL27" s="117">
        <v>11</v>
      </c>
      <c r="AM27" s="144">
        <v>11</v>
      </c>
      <c r="AN27" s="144">
        <v>0</v>
      </c>
      <c r="AO27" s="144">
        <v>0</v>
      </c>
      <c r="AP27" s="117">
        <v>0</v>
      </c>
      <c r="AQ27" s="117">
        <v>0</v>
      </c>
      <c r="AR27" s="117">
        <v>0</v>
      </c>
      <c r="AS27" s="117">
        <v>0</v>
      </c>
      <c r="AT27" s="117">
        <v>0</v>
      </c>
      <c r="AU27" s="117">
        <v>0</v>
      </c>
      <c r="AV27" s="117">
        <v>0</v>
      </c>
      <c r="AW27" s="117">
        <v>0</v>
      </c>
      <c r="AX27" s="117">
        <v>0</v>
      </c>
      <c r="AY27" s="117">
        <v>0</v>
      </c>
      <c r="AZ27" s="117">
        <v>0</v>
      </c>
      <c r="BA27" s="117">
        <v>0</v>
      </c>
      <c r="BB27" s="117">
        <v>0</v>
      </c>
      <c r="BC27" s="117">
        <v>0</v>
      </c>
      <c r="BD27" s="117">
        <v>0</v>
      </c>
      <c r="BE27" s="117">
        <v>0</v>
      </c>
      <c r="BF27" s="144">
        <v>0</v>
      </c>
      <c r="BG27" s="117">
        <v>0.02</v>
      </c>
      <c r="BH27" s="44" t="str">
        <f t="shared" si="0"/>
        <v>new food('n','Grapes red or green raw','Fruit','','15','0.68','0.21','16.24','0','68','12','1.8','0.12','14','18','206','1','0.09','0.061','0','0.2','0','0.18','0','24','49','19.8','0.05','0.26','0.356','0','0.101','0','6.8','0','11','11','0','0','0','0','0','0','0','0','0','0','0','0','0','0','0','0','0','0','0','0.02'),</v>
      </c>
    </row>
    <row r="28" spans="1:70" ht="15" customHeight="1">
      <c r="A28" s="101">
        <v>8</v>
      </c>
      <c r="B28" s="129">
        <v>1</v>
      </c>
      <c r="C28" s="45" t="s">
        <v>340</v>
      </c>
      <c r="D28" s="50" t="s">
        <v>207</v>
      </c>
      <c r="E28" s="84" t="s">
        <v>341</v>
      </c>
      <c r="F28" s="56"/>
      <c r="G28" s="117">
        <v>2.1850000000000001</v>
      </c>
      <c r="H28" s="117">
        <v>0.98250000000000004</v>
      </c>
      <c r="I28" s="117">
        <v>2.6675</v>
      </c>
      <c r="J28" s="117">
        <v>0</v>
      </c>
      <c r="K28" s="117">
        <v>28.75</v>
      </c>
      <c r="L28" s="117">
        <v>0.505</v>
      </c>
      <c r="M28" s="117">
        <v>0.01</v>
      </c>
      <c r="N28" s="117">
        <v>0.29299999999999998</v>
      </c>
      <c r="O28" s="117">
        <v>2.75</v>
      </c>
      <c r="P28" s="117">
        <v>17</v>
      </c>
      <c r="Q28" s="117">
        <v>28.5</v>
      </c>
      <c r="R28" s="117">
        <v>68.5</v>
      </c>
      <c r="S28" s="117">
        <v>0.45500000000000002</v>
      </c>
      <c r="T28" s="117">
        <v>1.2500000000000001E-2</v>
      </c>
      <c r="U28" s="117">
        <v>0</v>
      </c>
      <c r="V28" s="117">
        <v>2.35</v>
      </c>
      <c r="W28" s="117">
        <v>1.75</v>
      </c>
      <c r="X28" s="117">
        <v>4.2500000000000003E-2</v>
      </c>
      <c r="Y28" s="117">
        <v>0</v>
      </c>
      <c r="Z28" s="117">
        <v>0</v>
      </c>
      <c r="AA28" s="117">
        <v>1</v>
      </c>
      <c r="AB28" s="117">
        <v>2.5000000000000001E-2</v>
      </c>
      <c r="AC28" s="117">
        <v>2.2249999999999999E-2</v>
      </c>
      <c r="AD28" s="117">
        <v>2.75E-2</v>
      </c>
      <c r="AE28" s="117">
        <v>0.41749999999999998</v>
      </c>
      <c r="AF28" s="117">
        <v>0</v>
      </c>
      <c r="AG28" s="117">
        <v>1.7500000000000002E-2</v>
      </c>
      <c r="AH28" s="117"/>
      <c r="AI28" s="117">
        <v>0.13250000000000001</v>
      </c>
      <c r="AJ28" s="117">
        <v>5.85</v>
      </c>
      <c r="AK28" s="117">
        <v>0.52500000000000002</v>
      </c>
      <c r="AL28" s="117">
        <v>0.5</v>
      </c>
      <c r="AM28" s="117">
        <v>5</v>
      </c>
      <c r="AN28" s="117">
        <v>0</v>
      </c>
      <c r="AO28" s="117">
        <v>0</v>
      </c>
      <c r="AP28" s="117">
        <v>0</v>
      </c>
      <c r="AQ28" s="117">
        <v>0</v>
      </c>
      <c r="AR28" s="117">
        <v>0</v>
      </c>
      <c r="AS28" s="117">
        <v>0</v>
      </c>
      <c r="AT28" s="117">
        <v>0</v>
      </c>
      <c r="AU28" s="117">
        <v>0</v>
      </c>
      <c r="AV28" s="117">
        <v>0</v>
      </c>
      <c r="AW28" s="117">
        <v>0</v>
      </c>
      <c r="AX28" s="117">
        <v>0</v>
      </c>
      <c r="AY28" s="117">
        <v>0</v>
      </c>
      <c r="AZ28" s="117">
        <v>0</v>
      </c>
      <c r="BA28" s="117">
        <v>0</v>
      </c>
      <c r="BB28" s="117">
        <v>0</v>
      </c>
      <c r="BC28" s="117">
        <v>0</v>
      </c>
      <c r="BD28" s="117">
        <v>0</v>
      </c>
      <c r="BE28" s="117">
        <v>0</v>
      </c>
      <c r="BF28" s="117">
        <v>5.75</v>
      </c>
      <c r="BG28" s="56"/>
      <c r="BH28" s="44" t="str">
        <f t="shared" si="0"/>
        <v>new food('1','Hamburger','Entre','.25 lb','','2.185','0.9825','2.6675','0','28.75','0.505','0.01','0.293','2.75','17','28.5','68.5','0.455','0.0125','0','2.35','1.75','0.0425','0','0','1','0.025','0.02225','0.0275','0.4175','0','0.0175','0.1325','5.85','0.525','0.5','5','0','0','0','0','0','0','0','0','0','0','0','0','0','0','0','0','0','0','5.75',''),</v>
      </c>
    </row>
    <row r="29" spans="1:70" ht="15" customHeight="1">
      <c r="A29" s="98">
        <v>1</v>
      </c>
      <c r="B29" s="132">
        <v>2</v>
      </c>
      <c r="C29" s="44" t="s">
        <v>205</v>
      </c>
      <c r="D29" s="50" t="s">
        <v>207</v>
      </c>
      <c r="E29" s="50" t="s">
        <v>230</v>
      </c>
      <c r="F29" s="144"/>
      <c r="G29" s="144">
        <f t="shared" ref="G29:AK29" si="1">G28/6</f>
        <v>0.36416666666666669</v>
      </c>
      <c r="H29" s="117">
        <f t="shared" si="1"/>
        <v>0.16375000000000001</v>
      </c>
      <c r="I29" s="117">
        <f t="shared" si="1"/>
        <v>0.44458333333333333</v>
      </c>
      <c r="J29" s="117">
        <f t="shared" si="1"/>
        <v>0</v>
      </c>
      <c r="K29" s="117">
        <f t="shared" si="1"/>
        <v>4.791666666666667</v>
      </c>
      <c r="L29" s="144">
        <f t="shared" si="1"/>
        <v>8.4166666666666667E-2</v>
      </c>
      <c r="M29" s="117">
        <f t="shared" si="1"/>
        <v>1.6666666666666668E-3</v>
      </c>
      <c r="N29" s="117">
        <f t="shared" si="1"/>
        <v>4.8833333333333333E-2</v>
      </c>
      <c r="O29" s="117">
        <f t="shared" si="1"/>
        <v>0.45833333333333331</v>
      </c>
      <c r="P29" s="117">
        <f t="shared" si="1"/>
        <v>2.8333333333333335</v>
      </c>
      <c r="Q29" s="117">
        <f t="shared" si="1"/>
        <v>4.75</v>
      </c>
      <c r="R29" s="117">
        <f t="shared" si="1"/>
        <v>11.416666666666666</v>
      </c>
      <c r="S29" s="117">
        <f t="shared" si="1"/>
        <v>7.5833333333333336E-2</v>
      </c>
      <c r="T29" s="144">
        <f t="shared" si="1"/>
        <v>2.0833333333333333E-3</v>
      </c>
      <c r="U29" s="117">
        <f t="shared" si="1"/>
        <v>0</v>
      </c>
      <c r="V29" s="117">
        <f t="shared" si="1"/>
        <v>0.39166666666666666</v>
      </c>
      <c r="W29" s="117">
        <f t="shared" si="1"/>
        <v>0.29166666666666669</v>
      </c>
      <c r="X29" s="117">
        <f t="shared" si="1"/>
        <v>7.0833333333333338E-3</v>
      </c>
      <c r="Y29" s="117">
        <f t="shared" si="1"/>
        <v>0</v>
      </c>
      <c r="Z29" s="117">
        <f t="shared" si="1"/>
        <v>0</v>
      </c>
      <c r="AA29" s="144">
        <f t="shared" si="1"/>
        <v>0.16666666666666666</v>
      </c>
      <c r="AB29" s="144">
        <f t="shared" si="1"/>
        <v>4.1666666666666666E-3</v>
      </c>
      <c r="AC29" s="144">
        <f t="shared" si="1"/>
        <v>3.708333333333333E-3</v>
      </c>
      <c r="AD29" s="117">
        <f t="shared" si="1"/>
        <v>4.5833333333333334E-3</v>
      </c>
      <c r="AE29" s="117">
        <f t="shared" si="1"/>
        <v>6.958333333333333E-2</v>
      </c>
      <c r="AF29" s="144">
        <f t="shared" si="1"/>
        <v>0</v>
      </c>
      <c r="AG29" s="117">
        <f t="shared" si="1"/>
        <v>2.9166666666666668E-3</v>
      </c>
      <c r="AH29" s="117"/>
      <c r="AI29" s="117">
        <f t="shared" si="1"/>
        <v>2.2083333333333333E-2</v>
      </c>
      <c r="AJ29" s="117">
        <f t="shared" si="1"/>
        <v>0.97499999999999998</v>
      </c>
      <c r="AK29" s="117">
        <f t="shared" si="1"/>
        <v>8.7500000000000008E-2</v>
      </c>
      <c r="AL29" s="144"/>
      <c r="AM29" s="117">
        <f t="shared" ref="AM29:BG29" si="2">AM28/6</f>
        <v>0.83333333333333337</v>
      </c>
      <c r="AN29" s="117">
        <f t="shared" si="2"/>
        <v>0</v>
      </c>
      <c r="AO29" s="117">
        <f t="shared" si="2"/>
        <v>0</v>
      </c>
      <c r="AP29" s="144">
        <f t="shared" si="2"/>
        <v>0</v>
      </c>
      <c r="AQ29" s="144">
        <f t="shared" si="2"/>
        <v>0</v>
      </c>
      <c r="AR29" s="144">
        <f t="shared" si="2"/>
        <v>0</v>
      </c>
      <c r="AS29" s="144">
        <f t="shared" si="2"/>
        <v>0</v>
      </c>
      <c r="AT29" s="144">
        <f t="shared" si="2"/>
        <v>0</v>
      </c>
      <c r="AU29" s="144">
        <f t="shared" si="2"/>
        <v>0</v>
      </c>
      <c r="AV29" s="144">
        <f t="shared" si="2"/>
        <v>0</v>
      </c>
      <c r="AW29" s="144">
        <f t="shared" si="2"/>
        <v>0</v>
      </c>
      <c r="AX29" s="144">
        <f t="shared" si="2"/>
        <v>0</v>
      </c>
      <c r="AY29" s="144">
        <f t="shared" si="2"/>
        <v>0</v>
      </c>
      <c r="AZ29" s="144">
        <f t="shared" si="2"/>
        <v>0</v>
      </c>
      <c r="BA29" s="144">
        <f t="shared" si="2"/>
        <v>0</v>
      </c>
      <c r="BB29" s="144">
        <f t="shared" si="2"/>
        <v>0</v>
      </c>
      <c r="BC29" s="117">
        <f t="shared" si="2"/>
        <v>0</v>
      </c>
      <c r="BD29" s="144">
        <f t="shared" si="2"/>
        <v>0</v>
      </c>
      <c r="BE29" s="144">
        <f t="shared" si="2"/>
        <v>0</v>
      </c>
      <c r="BF29" s="117">
        <f t="shared" si="2"/>
        <v>0.95833333333333337</v>
      </c>
      <c r="BG29" s="144">
        <f t="shared" si="2"/>
        <v>0</v>
      </c>
      <c r="BH29" s="44" t="str">
        <f t="shared" si="0"/>
        <v>new food('2','Homemade chili','Entre','1 bowl','','0.364166666666667','0.16375','0.444583333333333','0','4.79166666666667','0.0841666666666667','0.00166666666666667','0.0488333333333333','0.458333333333333','2.83333333333333','4.75','11.4166666666667','0.0758333333333333','0.00208333333333333','0','0.391666666666667','0.291666666666667','0.00708333333333333','0','0','0.166666666666667','0.00416666666666667','0.00370833333333333','0.00458333333333333','0.0695833333333333','0','0.00291666666666667','0.0220833333333333','0.975','0.0875','','0.833333333333333','0','0','0','0','0','0','0','0','0','0','0','0','0','0','0','0','0','0','0.958333333333333','0'),</v>
      </c>
    </row>
    <row r="30" spans="1:70" ht="15" customHeight="1">
      <c r="A30" s="98">
        <v>323121</v>
      </c>
      <c r="B30" s="132">
        <v>1</v>
      </c>
      <c r="C30" s="44" t="s">
        <v>301</v>
      </c>
      <c r="D30" s="60" t="s">
        <v>207</v>
      </c>
      <c r="E30" s="60"/>
      <c r="F30" s="63">
        <v>100</v>
      </c>
      <c r="G30" s="141">
        <v>11.7</v>
      </c>
      <c r="H30" s="142">
        <v>28</v>
      </c>
      <c r="I30" s="141">
        <v>2.89</v>
      </c>
      <c r="J30" s="141">
        <v>0</v>
      </c>
      <c r="K30" s="142">
        <v>310</v>
      </c>
      <c r="L30" s="142">
        <v>1.26</v>
      </c>
      <c r="M30" s="142">
        <v>0</v>
      </c>
      <c r="N30" s="142">
        <v>1.1399999999999999</v>
      </c>
      <c r="O30" s="142">
        <v>12</v>
      </c>
      <c r="P30" s="142">
        <v>128</v>
      </c>
      <c r="Q30" s="142">
        <v>343</v>
      </c>
      <c r="R30" s="142">
        <v>872</v>
      </c>
      <c r="S30" s="142">
        <v>2.06</v>
      </c>
      <c r="T30" s="142">
        <v>4.5999999999999999E-2</v>
      </c>
      <c r="U30" s="142">
        <v>0</v>
      </c>
      <c r="V30" s="142">
        <v>10.3</v>
      </c>
      <c r="W30" s="142">
        <v>3</v>
      </c>
      <c r="X30" s="142">
        <v>0.51</v>
      </c>
      <c r="Y30" s="142">
        <v>0</v>
      </c>
      <c r="Z30" s="142">
        <v>0</v>
      </c>
      <c r="AA30" s="142">
        <v>0</v>
      </c>
      <c r="AB30" s="142">
        <v>0</v>
      </c>
      <c r="AC30" s="142">
        <v>3.3000000000000002E-2</v>
      </c>
      <c r="AD30" s="142">
        <v>0.154</v>
      </c>
      <c r="AE30" s="142">
        <v>2.25</v>
      </c>
      <c r="AF30" s="142">
        <v>0</v>
      </c>
      <c r="AG30" s="142">
        <v>0.13</v>
      </c>
      <c r="AH30" s="142"/>
      <c r="AI30" s="142">
        <v>0.97</v>
      </c>
      <c r="AJ30" s="142">
        <v>31.9</v>
      </c>
      <c r="AK30" s="142">
        <v>1.8</v>
      </c>
      <c r="AL30" s="142">
        <v>0</v>
      </c>
      <c r="AM30" s="142">
        <v>0</v>
      </c>
      <c r="AN30" s="142">
        <v>0</v>
      </c>
      <c r="AO30" s="142">
        <v>0</v>
      </c>
      <c r="AP30" s="142">
        <v>0</v>
      </c>
      <c r="AQ30" s="142">
        <v>0</v>
      </c>
      <c r="AR30" s="142">
        <v>0</v>
      </c>
      <c r="AS30" s="142">
        <v>0</v>
      </c>
      <c r="AT30" s="142">
        <v>0</v>
      </c>
      <c r="AU30" s="142">
        <v>0</v>
      </c>
      <c r="AV30" s="142">
        <v>0</v>
      </c>
      <c r="AW30" s="142">
        <v>0</v>
      </c>
      <c r="AX30" s="142">
        <v>0</v>
      </c>
      <c r="AY30" s="142">
        <v>0</v>
      </c>
      <c r="AZ30" s="142">
        <v>0</v>
      </c>
      <c r="BA30" s="142">
        <v>0</v>
      </c>
      <c r="BB30" s="142">
        <v>0</v>
      </c>
      <c r="BC30" s="142">
        <v>0</v>
      </c>
      <c r="BD30" s="142">
        <v>0</v>
      </c>
      <c r="BE30" s="142">
        <v>0</v>
      </c>
      <c r="BF30" s="142">
        <v>58</v>
      </c>
      <c r="BG30" s="142">
        <v>12.1</v>
      </c>
      <c r="BH30" s="44" t="str">
        <f t="shared" si="0"/>
        <v>new food('1','Hot Dog beef','Entre','','100','11.7','28','2.89','0','310','1.26','0','1.14','12','128','343','872','2.06','0.046','0','10.3','3','0.51','0','0','0','0','0.033','0.154','2.25','0','0.13','0.97','31.9','1.8','0','0','0','0','0','0','0','0','0','0','0','0','0','0','0','0','0','0','0','0','58','12.1'),</v>
      </c>
    </row>
    <row r="31" spans="1:70" ht="15" customHeight="1">
      <c r="A31" s="98">
        <v>7</v>
      </c>
      <c r="B31" s="132">
        <v>2</v>
      </c>
      <c r="C31" s="44" t="s">
        <v>332</v>
      </c>
      <c r="D31" s="50" t="s">
        <v>207</v>
      </c>
      <c r="E31" s="58" t="s">
        <v>333</v>
      </c>
      <c r="F31" s="117">
        <v>179.67</v>
      </c>
      <c r="G31" s="141">
        <v>11.07</v>
      </c>
      <c r="H31" s="142">
        <v>14.7</v>
      </c>
      <c r="I31" s="142">
        <v>42.19</v>
      </c>
      <c r="J31" s="142">
        <v>0.17</v>
      </c>
      <c r="K31" s="142">
        <v>314.58</v>
      </c>
      <c r="L31" s="142">
        <v>4</v>
      </c>
      <c r="M31" s="142">
        <v>2.67</v>
      </c>
      <c r="N31" s="142">
        <v>2.62</v>
      </c>
      <c r="O31" s="142">
        <v>31.08</v>
      </c>
      <c r="P31" s="142">
        <v>151.66999999999999</v>
      </c>
      <c r="Q31" s="142">
        <v>212.25</v>
      </c>
      <c r="R31" s="142">
        <v>529.16999999999996</v>
      </c>
      <c r="S31" s="142">
        <v>1.53</v>
      </c>
      <c r="T31" s="142">
        <v>0.12</v>
      </c>
      <c r="U31" s="142">
        <v>0.09</v>
      </c>
      <c r="V31" s="142">
        <v>19.43</v>
      </c>
      <c r="W31" s="142">
        <v>40.08</v>
      </c>
      <c r="X31" s="142">
        <v>1.26</v>
      </c>
      <c r="Y31" s="142">
        <v>0.67</v>
      </c>
      <c r="Z31" s="142">
        <v>0.83</v>
      </c>
      <c r="AA31" s="142">
        <v>407.08</v>
      </c>
      <c r="AB31" s="142">
        <v>9.9</v>
      </c>
      <c r="AC31" s="142">
        <v>0.36</v>
      </c>
      <c r="AD31" s="142">
        <v>0.24</v>
      </c>
      <c r="AE31" s="142">
        <v>3.47</v>
      </c>
      <c r="AF31" s="142">
        <v>0.06</v>
      </c>
      <c r="AG31" s="142">
        <v>0.14000000000000001</v>
      </c>
      <c r="AH31" s="142"/>
      <c r="AI31" s="142">
        <v>0.36</v>
      </c>
      <c r="AJ31" s="142">
        <v>28.08</v>
      </c>
      <c r="AK31" s="142">
        <v>53.93</v>
      </c>
      <c r="AL31" s="142">
        <v>92.08</v>
      </c>
      <c r="AM31" s="142">
        <v>154.91999999999999</v>
      </c>
      <c r="AN31" s="142">
        <v>3.22</v>
      </c>
      <c r="AO31" s="142">
        <v>0.02</v>
      </c>
      <c r="AP31" s="142">
        <v>7.0000000000000007E-2</v>
      </c>
      <c r="AQ31" s="142">
        <v>0.08</v>
      </c>
      <c r="AR31" s="142">
        <v>0.17</v>
      </c>
      <c r="AS31" s="142">
        <v>0.14000000000000001</v>
      </c>
      <c r="AT31" s="142">
        <v>0.04</v>
      </c>
      <c r="AU31" s="142">
        <v>0.03</v>
      </c>
      <c r="AV31" s="142">
        <v>0.09</v>
      </c>
      <c r="AW31" s="142">
        <v>7.0000000000000007E-2</v>
      </c>
      <c r="AX31" s="142">
        <v>0.1</v>
      </c>
      <c r="AY31" s="142">
        <v>0.09</v>
      </c>
      <c r="AZ31" s="142">
        <v>7.0000000000000007E-2</v>
      </c>
      <c r="BA31" s="142">
        <v>0.15</v>
      </c>
      <c r="BB31" s="142">
        <v>0.46</v>
      </c>
      <c r="BC31" s="142">
        <v>0.05</v>
      </c>
      <c r="BD31" s="142">
        <v>0.17</v>
      </c>
      <c r="BE31" s="142">
        <v>0.1</v>
      </c>
      <c r="BF31" s="142">
        <v>26.67</v>
      </c>
      <c r="BG31" s="142">
        <v>4.29</v>
      </c>
      <c r="BH31" s="44" t="str">
        <f t="shared" si="0"/>
        <v>new food('2','Lasagna','Entre','1 piece','179.67','11.07','14.7','42.19','0.17','314.58','4','2.67','2.62','31.08','151.67','212.25','529.17','1.53','0.12','0.09','19.43','40.08','1.26','0.67','0.83','407.08','9.9','0.36','0.24','3.47','0.06','0.14','0.36','28.08','53.93','92.08','154.92','3.22','0.02','0.07','0.08','0.17','0.14','0.04','0.03','0.09','0.07','0.1','0.09','0.07','0.15','0.46','0.05','0.17','0.1','26.67','4.29'),</v>
      </c>
    </row>
    <row r="32" spans="1:70" ht="15" customHeight="1">
      <c r="A32" s="99">
        <v>169582</v>
      </c>
      <c r="B32" s="127" t="s">
        <v>362</v>
      </c>
      <c r="C32" s="61" t="s">
        <v>258</v>
      </c>
      <c r="D32" s="60" t="s">
        <v>285</v>
      </c>
      <c r="E32" s="60" t="s">
        <v>231</v>
      </c>
      <c r="F32" s="56">
        <v>54</v>
      </c>
      <c r="G32" s="144">
        <v>9.57</v>
      </c>
      <c r="H32" s="144">
        <v>26.13</v>
      </c>
      <c r="I32" s="144">
        <v>60.48</v>
      </c>
      <c r="J32" s="117">
        <v>1.44</v>
      </c>
      <c r="K32" s="117">
        <v>515</v>
      </c>
      <c r="L32" s="117">
        <v>50.75</v>
      </c>
      <c r="M32" s="144">
        <v>3.7</v>
      </c>
      <c r="N32" s="117">
        <v>1.1599999999999999</v>
      </c>
      <c r="O32" s="117">
        <v>69</v>
      </c>
      <c r="P32" s="117">
        <v>190</v>
      </c>
      <c r="Q32" s="117">
        <v>347</v>
      </c>
      <c r="R32" s="63">
        <v>50</v>
      </c>
      <c r="S32" s="117">
        <v>1.76</v>
      </c>
      <c r="T32" s="117">
        <v>0.505</v>
      </c>
      <c r="U32" s="117">
        <v>6.4000000000000001E-2</v>
      </c>
      <c r="V32" s="117">
        <v>4.0999999999999996</v>
      </c>
      <c r="W32" s="144">
        <v>22</v>
      </c>
      <c r="X32" s="117">
        <v>2.85</v>
      </c>
      <c r="Y32" s="117">
        <v>0</v>
      </c>
      <c r="Z32" s="117">
        <v>0</v>
      </c>
      <c r="AA32" s="144">
        <v>0</v>
      </c>
      <c r="AB32" s="144">
        <v>0</v>
      </c>
      <c r="AC32" s="144">
        <v>6.3E-2</v>
      </c>
      <c r="AD32" s="144">
        <v>0.106</v>
      </c>
      <c r="AE32" s="117">
        <v>3.3620000000000001</v>
      </c>
      <c r="AF32" s="117">
        <v>0.627</v>
      </c>
      <c r="AG32" s="117">
        <v>0.09</v>
      </c>
      <c r="AH32" s="117"/>
      <c r="AI32" s="144">
        <v>0.32</v>
      </c>
      <c r="AJ32" s="144">
        <v>37.299999999999997</v>
      </c>
      <c r="AK32" s="144">
        <v>3</v>
      </c>
      <c r="AL32" s="117">
        <v>102</v>
      </c>
      <c r="AM32" s="144">
        <v>55</v>
      </c>
      <c r="AN32" s="144">
        <v>0</v>
      </c>
      <c r="AO32" s="144">
        <v>0</v>
      </c>
      <c r="AP32" s="117">
        <v>0</v>
      </c>
      <c r="AQ32" s="117">
        <v>0</v>
      </c>
      <c r="AR32" s="117">
        <v>0</v>
      </c>
      <c r="AS32" s="117">
        <v>0</v>
      </c>
      <c r="AT32" s="117">
        <v>0</v>
      </c>
      <c r="AU32" s="117">
        <v>0</v>
      </c>
      <c r="AV32" s="117">
        <v>0</v>
      </c>
      <c r="AW32" s="117">
        <v>0</v>
      </c>
      <c r="AX32" s="117">
        <v>0</v>
      </c>
      <c r="AY32" s="117">
        <v>0</v>
      </c>
      <c r="AZ32" s="56">
        <v>0</v>
      </c>
      <c r="BA32" s="144">
        <v>0</v>
      </c>
      <c r="BB32" s="56">
        <v>0</v>
      </c>
      <c r="BC32" s="56">
        <v>0</v>
      </c>
      <c r="BD32" s="144">
        <v>0</v>
      </c>
      <c r="BE32" s="56">
        <v>0</v>
      </c>
      <c r="BF32" s="117">
        <v>8</v>
      </c>
      <c r="BG32" s="117">
        <v>8.0860000000000003</v>
      </c>
      <c r="BH32" s="44" t="str">
        <f t="shared" si="0"/>
        <v>new food('n','MandMs Peanut Chocolate Candies','Snack','1 bag','54','9.57','26.13','60.48','1.44','515','50.75','3.7','1.16','69','190','347','50','1.76','0.505','0.064','4.1','22','2.85','0','0','0','0','0.063','0.106','3.362','0.627','0.09','0.32','37.3','3','102','55','0','0','0','0','0','0','0','0','0','0','0','0','0','0','0','0','0','0','8','8.086'),</v>
      </c>
    </row>
    <row r="33" spans="1:60" ht="15" customHeight="1">
      <c r="A33" s="98">
        <v>2705497</v>
      </c>
      <c r="B33" s="132" t="s">
        <v>362</v>
      </c>
      <c r="C33" s="44" t="s">
        <v>278</v>
      </c>
      <c r="D33" s="50" t="s">
        <v>280</v>
      </c>
      <c r="E33" s="60" t="s">
        <v>221</v>
      </c>
      <c r="F33" s="63"/>
      <c r="G33" s="141">
        <v>3.16</v>
      </c>
      <c r="H33" s="141">
        <v>1.8</v>
      </c>
      <c r="I33" s="142">
        <v>10.7</v>
      </c>
      <c r="J33" s="141">
        <v>0</v>
      </c>
      <c r="K33" s="142">
        <v>71</v>
      </c>
      <c r="L33" s="141">
        <v>10.46</v>
      </c>
      <c r="M33" s="141">
        <v>0</v>
      </c>
      <c r="N33" s="142">
        <v>0.03</v>
      </c>
      <c r="O33" s="142">
        <v>11</v>
      </c>
      <c r="P33" s="142">
        <v>97</v>
      </c>
      <c r="Q33" s="142">
        <v>150</v>
      </c>
      <c r="R33" s="142">
        <v>39</v>
      </c>
      <c r="S33" s="142">
        <v>0.4</v>
      </c>
      <c r="T33" s="142">
        <v>1E-3</v>
      </c>
      <c r="U33" s="142">
        <v>0</v>
      </c>
      <c r="V33" s="142">
        <v>1.7</v>
      </c>
      <c r="W33" s="142">
        <v>78</v>
      </c>
      <c r="X33" s="142">
        <v>0.03</v>
      </c>
      <c r="Y33" s="142">
        <v>0</v>
      </c>
      <c r="Z33" s="142">
        <v>0</v>
      </c>
      <c r="AA33" s="142">
        <v>0</v>
      </c>
      <c r="AB33" s="142">
        <v>0.2</v>
      </c>
      <c r="AC33" s="142">
        <v>5.6000000000000001E-2</v>
      </c>
      <c r="AD33" s="142">
        <v>0.13500000000000001</v>
      </c>
      <c r="AE33" s="142">
        <v>0.11</v>
      </c>
      <c r="AF33" s="142">
        <v>0</v>
      </c>
      <c r="AG33" s="142">
        <v>5.7000000000000002E-2</v>
      </c>
      <c r="AH33" s="142"/>
      <c r="AI33" s="142">
        <v>0.52</v>
      </c>
      <c r="AJ33" s="141">
        <v>17.100000000000001</v>
      </c>
      <c r="AK33" s="142">
        <v>0.2</v>
      </c>
      <c r="AL33" s="142">
        <v>2</v>
      </c>
      <c r="AM33" s="141">
        <v>2</v>
      </c>
      <c r="AN33" s="141">
        <v>0</v>
      </c>
      <c r="AO33" s="142">
        <v>0</v>
      </c>
      <c r="AP33" s="142">
        <v>0</v>
      </c>
      <c r="AQ33" s="142">
        <v>0</v>
      </c>
      <c r="AR33" s="142">
        <v>0</v>
      </c>
      <c r="AS33" s="142">
        <v>0</v>
      </c>
      <c r="AT33" s="142">
        <v>0</v>
      </c>
      <c r="AU33" s="142">
        <v>0</v>
      </c>
      <c r="AV33" s="142">
        <v>0</v>
      </c>
      <c r="AW33" s="142">
        <v>0</v>
      </c>
      <c r="AX33" s="142">
        <v>0</v>
      </c>
      <c r="AY33" s="142">
        <v>0</v>
      </c>
      <c r="AZ33" s="142">
        <v>0</v>
      </c>
      <c r="BA33" s="142">
        <v>0</v>
      </c>
      <c r="BB33" s="142">
        <v>0</v>
      </c>
      <c r="BC33" s="142">
        <v>0</v>
      </c>
      <c r="BD33" s="142">
        <v>0</v>
      </c>
      <c r="BE33" s="142">
        <v>0</v>
      </c>
      <c r="BF33" s="142">
        <v>8</v>
      </c>
      <c r="BG33" s="142">
        <v>0.375</v>
      </c>
      <c r="BH33" s="44" t="str">
        <f t="shared" si="0"/>
        <v>new food('n','Milk 2percent','Bev','1 cup','','3.16','1.8','10.7','0','71','10.46','0','0.03','11','97','150','39','0.4','0.001','0','1.7','78','0.03','0','0','0','0.2','0.056','0.135','0.11','0','0.057','0.52','17.1','0.2','2','2','0','0','0','0','0','0','0','0','0','0','0','0','0','0','0','0','0','0','8','0.375'),</v>
      </c>
    </row>
    <row r="34" spans="1:60" ht="15" customHeight="1">
      <c r="A34" s="98">
        <v>168759</v>
      </c>
      <c r="B34" s="132" t="s">
        <v>362</v>
      </c>
      <c r="C34" s="44" t="s">
        <v>250</v>
      </c>
      <c r="D34" s="60" t="s">
        <v>285</v>
      </c>
      <c r="E34" s="60" t="s">
        <v>264</v>
      </c>
      <c r="F34" s="63"/>
      <c r="G34" s="141">
        <v>4.5999999999999996</v>
      </c>
      <c r="H34" s="142">
        <v>26.6</v>
      </c>
      <c r="I34" s="141">
        <v>58.88</v>
      </c>
      <c r="J34" s="141">
        <v>0</v>
      </c>
      <c r="K34" s="141">
        <v>493</v>
      </c>
      <c r="L34" s="142">
        <v>46.19</v>
      </c>
      <c r="M34" s="142">
        <v>3.7</v>
      </c>
      <c r="N34" s="142">
        <v>2.09</v>
      </c>
      <c r="O34" s="142">
        <v>55</v>
      </c>
      <c r="P34" s="142">
        <v>91</v>
      </c>
      <c r="Q34" s="142">
        <v>321</v>
      </c>
      <c r="R34" s="142">
        <v>145</v>
      </c>
      <c r="S34" s="142">
        <v>1.1000000000000001</v>
      </c>
      <c r="T34" s="142">
        <v>0.4</v>
      </c>
      <c r="U34" s="142">
        <v>0</v>
      </c>
      <c r="V34" s="142">
        <v>6.6</v>
      </c>
      <c r="W34" s="142">
        <v>0</v>
      </c>
      <c r="X34" s="142">
        <v>0.19</v>
      </c>
      <c r="Y34" s="142">
        <v>0</v>
      </c>
      <c r="Z34" s="142">
        <v>0</v>
      </c>
      <c r="AA34" s="142">
        <v>5</v>
      </c>
      <c r="AB34" s="142">
        <v>0.4</v>
      </c>
      <c r="AC34" s="142">
        <v>4.9000000000000002E-2</v>
      </c>
      <c r="AD34" s="142">
        <v>5.8000000000000003E-2</v>
      </c>
      <c r="AE34" s="142">
        <v>0.27700000000000002</v>
      </c>
      <c r="AF34" s="142">
        <v>0</v>
      </c>
      <c r="AG34" s="142">
        <v>0.09</v>
      </c>
      <c r="AH34" s="142"/>
      <c r="AI34" s="142">
        <v>0</v>
      </c>
      <c r="AJ34" s="142">
        <v>11.8</v>
      </c>
      <c r="AK34" s="142">
        <v>1.6</v>
      </c>
      <c r="AL34" s="142">
        <v>6</v>
      </c>
      <c r="AM34" s="142">
        <v>6</v>
      </c>
      <c r="AN34" s="142">
        <v>0</v>
      </c>
      <c r="AO34" s="142">
        <v>0</v>
      </c>
      <c r="AP34" s="142">
        <v>0</v>
      </c>
      <c r="AQ34" s="142">
        <v>0</v>
      </c>
      <c r="AR34" s="142">
        <v>0</v>
      </c>
      <c r="AS34" s="142">
        <v>0</v>
      </c>
      <c r="AT34" s="142">
        <v>0</v>
      </c>
      <c r="AU34" s="142">
        <v>0</v>
      </c>
      <c r="AV34" s="142">
        <v>0</v>
      </c>
      <c r="AW34" s="142">
        <v>0</v>
      </c>
      <c r="AX34" s="142">
        <v>0</v>
      </c>
      <c r="AY34" s="142">
        <v>0</v>
      </c>
      <c r="AZ34" s="142">
        <v>0</v>
      </c>
      <c r="BA34" s="142">
        <v>0</v>
      </c>
      <c r="BB34" s="142">
        <v>0</v>
      </c>
      <c r="BC34" s="142">
        <v>0</v>
      </c>
      <c r="BD34" s="142">
        <v>0</v>
      </c>
      <c r="BE34" s="142">
        <v>0</v>
      </c>
      <c r="BF34" s="142">
        <v>2</v>
      </c>
      <c r="BG34" s="142">
        <v>0.39</v>
      </c>
      <c r="BH34" s="44" t="str">
        <f t="shared" si="0"/>
        <v>new food('n','Mounds Candy Bar','Snack','1 bar','','4.6','26.6','58.88','0','493','46.19','3.7','2.09','55','91','321','145','1.1','0.4','0','6.6','0','0.19','0','0','5','0.4','0.049','0.058','0.277','0','0.09','0','11.8','1.6','6','6','0','0','0','0','0','0','0','0','0','0','0','0','0','0','0','0','0','0','2','0.39'),</v>
      </c>
    </row>
    <row r="35" spans="1:60" ht="15" customHeight="1">
      <c r="A35" s="99">
        <v>170567</v>
      </c>
      <c r="B35" s="127" t="s">
        <v>362</v>
      </c>
      <c r="C35" s="61" t="s">
        <v>120</v>
      </c>
      <c r="D35" s="50" t="s">
        <v>285</v>
      </c>
      <c r="E35" s="60" t="s">
        <v>224</v>
      </c>
      <c r="F35" s="56">
        <v>28.35</v>
      </c>
      <c r="G35" s="56">
        <v>21.15</v>
      </c>
      <c r="H35" s="56">
        <v>49.93</v>
      </c>
      <c r="I35" s="117">
        <v>21.55</v>
      </c>
      <c r="J35" s="117">
        <v>2.97</v>
      </c>
      <c r="K35" s="117">
        <v>579</v>
      </c>
      <c r="L35" s="63">
        <v>4.3499999999999996</v>
      </c>
      <c r="M35" s="117">
        <v>12.5</v>
      </c>
      <c r="N35" s="117">
        <v>3.71</v>
      </c>
      <c r="O35" s="63">
        <v>270</v>
      </c>
      <c r="P35" s="63">
        <v>481</v>
      </c>
      <c r="Q35" s="63">
        <v>733</v>
      </c>
      <c r="R35" s="63">
        <v>1</v>
      </c>
      <c r="S35" s="56">
        <v>3.12</v>
      </c>
      <c r="T35" s="117">
        <v>1.0309999999999999</v>
      </c>
      <c r="U35" s="63">
        <v>2.1789999999999998</v>
      </c>
      <c r="V35" s="56">
        <v>4.0999999999999996</v>
      </c>
      <c r="W35" s="63">
        <v>0</v>
      </c>
      <c r="X35" s="63">
        <v>25.03</v>
      </c>
      <c r="Y35" s="63">
        <v>0</v>
      </c>
      <c r="Z35" s="117">
        <v>0</v>
      </c>
      <c r="AA35" s="117">
        <v>1</v>
      </c>
      <c r="AB35" s="63">
        <v>0</v>
      </c>
      <c r="AC35" s="63">
        <v>0.20499999999999999</v>
      </c>
      <c r="AD35" s="63">
        <v>1.1379999999999999</v>
      </c>
      <c r="AE35" s="63">
        <v>3.6179999999999999</v>
      </c>
      <c r="AF35" s="63">
        <v>0.47299999999999998</v>
      </c>
      <c r="AG35" s="63">
        <v>0.13700000000000001</v>
      </c>
      <c r="AH35" s="63"/>
      <c r="AI35" s="63">
        <v>0</v>
      </c>
      <c r="AJ35" s="117">
        <v>52.1</v>
      </c>
      <c r="AK35" s="63">
        <v>0</v>
      </c>
      <c r="AL35" s="117">
        <v>269</v>
      </c>
      <c r="AM35" s="117">
        <v>44</v>
      </c>
      <c r="AN35" s="117">
        <v>0.5</v>
      </c>
      <c r="AO35" s="63">
        <v>0.21099999999999999</v>
      </c>
      <c r="AP35" s="63">
        <v>0.1</v>
      </c>
      <c r="AQ35" s="117">
        <v>0.751</v>
      </c>
      <c r="AR35" s="117">
        <v>1.4730000000000001</v>
      </c>
      <c r="AS35" s="117">
        <v>0.56799999999999995</v>
      </c>
      <c r="AT35" s="117">
        <v>0.157</v>
      </c>
      <c r="AU35" s="117">
        <v>0.215</v>
      </c>
      <c r="AV35" s="63">
        <v>1.1319999999999999</v>
      </c>
      <c r="AW35" s="63">
        <v>0.45</v>
      </c>
      <c r="AX35" s="63">
        <v>0.85499999999999998</v>
      </c>
      <c r="AY35" s="117">
        <v>2.4649999999999999</v>
      </c>
      <c r="AZ35" s="117">
        <v>0.999</v>
      </c>
      <c r="BA35" s="117">
        <v>2.6389999999999998</v>
      </c>
      <c r="BB35" s="117">
        <v>6.2060000000000004</v>
      </c>
      <c r="BC35" s="144">
        <v>1.429</v>
      </c>
      <c r="BD35" s="56">
        <v>0.96899999999999997</v>
      </c>
      <c r="BE35" s="56">
        <v>0.91200000000000003</v>
      </c>
      <c r="BF35" s="63">
        <v>0</v>
      </c>
      <c r="BG35" s="144">
        <v>31.550999999999998</v>
      </c>
      <c r="BH35" s="44" t="str">
        <f t="shared" si="0"/>
        <v>new food('n','Nuts almonds','Snack','1 oz','28.35','21.15','49.93','21.55','2.97','579','4.35','12.5','3.71','270','481','733','1','3.12','1.031','2.179','4.1','0','25.03','0','0','1','0','0.205','1.138','3.618','0.473','0.137','0','52.1','0','269','44','0.5','0.211','0.1','0.751','1.473','0.568','0.157','0.215','1.132','0.45','0.855','2.465','0.999','2.639','6.206','1.429','0.969','0.912','0','31.551'),</v>
      </c>
    </row>
    <row r="36" spans="1:60" ht="15" customHeight="1">
      <c r="A36" s="99">
        <v>170569</v>
      </c>
      <c r="B36" s="127" t="s">
        <v>362</v>
      </c>
      <c r="C36" s="61" t="s">
        <v>121</v>
      </c>
      <c r="D36" s="50" t="s">
        <v>285</v>
      </c>
      <c r="E36" s="60" t="s">
        <v>224</v>
      </c>
      <c r="F36" s="56">
        <v>28.35</v>
      </c>
      <c r="G36" s="63">
        <v>14.32</v>
      </c>
      <c r="H36" s="56">
        <v>67.099999999999994</v>
      </c>
      <c r="I36" s="117">
        <v>11.74</v>
      </c>
      <c r="J36" s="117">
        <v>3.43</v>
      </c>
      <c r="K36" s="56">
        <v>659</v>
      </c>
      <c r="L36" s="56">
        <v>2.33</v>
      </c>
      <c r="M36" s="56">
        <v>7.5</v>
      </c>
      <c r="N36" s="63">
        <v>2.4300000000000002</v>
      </c>
      <c r="O36" s="56">
        <v>376</v>
      </c>
      <c r="P36" s="56">
        <v>725</v>
      </c>
      <c r="Q36" s="56">
        <v>659</v>
      </c>
      <c r="R36" s="56">
        <v>3</v>
      </c>
      <c r="S36" s="56">
        <v>4.0599999999999996</v>
      </c>
      <c r="T36" s="56">
        <v>1.7430000000000001</v>
      </c>
      <c r="U36" s="63">
        <v>1.2230000000000001</v>
      </c>
      <c r="V36" s="63">
        <v>1917</v>
      </c>
      <c r="W36" s="63">
        <v>0</v>
      </c>
      <c r="X36" s="63">
        <v>5.65</v>
      </c>
      <c r="Y36" s="63">
        <v>0</v>
      </c>
      <c r="Z36" s="56">
        <v>0</v>
      </c>
      <c r="AA36" s="63">
        <v>0</v>
      </c>
      <c r="AB36" s="63">
        <v>0.7</v>
      </c>
      <c r="AC36" s="63">
        <v>0.61699999999999999</v>
      </c>
      <c r="AD36" s="63">
        <v>3.5000000000000003E-2</v>
      </c>
      <c r="AE36" s="63">
        <v>0.29499999999999998</v>
      </c>
      <c r="AF36" s="63">
        <v>0.184</v>
      </c>
      <c r="AG36" s="63">
        <v>0.10100000000000001</v>
      </c>
      <c r="AH36" s="63"/>
      <c r="AI36" s="63">
        <v>0</v>
      </c>
      <c r="AJ36" s="144">
        <v>28.8</v>
      </c>
      <c r="AK36" s="56">
        <v>0</v>
      </c>
      <c r="AL36" s="117">
        <v>160</v>
      </c>
      <c r="AM36" s="56">
        <v>22</v>
      </c>
      <c r="AN36" s="117">
        <v>0.4</v>
      </c>
      <c r="AO36" s="63">
        <v>0.13500000000000001</v>
      </c>
      <c r="AP36" s="63">
        <v>0.36499999999999999</v>
      </c>
      <c r="AQ36" s="63">
        <v>0.51800000000000002</v>
      </c>
      <c r="AR36" s="63">
        <v>1.19</v>
      </c>
      <c r="AS36" s="63">
        <v>0.49</v>
      </c>
      <c r="AT36" s="63">
        <v>1.1240000000000001</v>
      </c>
      <c r="AU36" s="56">
        <v>0.30599999999999999</v>
      </c>
      <c r="AV36" s="63">
        <v>0.63900000000000001</v>
      </c>
      <c r="AW36" s="63">
        <v>0.41599999999999998</v>
      </c>
      <c r="AX36" s="63">
        <v>0.76</v>
      </c>
      <c r="AY36" s="117">
        <v>2.16</v>
      </c>
      <c r="AZ36" s="117">
        <v>0.60899999999999999</v>
      </c>
      <c r="BA36" s="117">
        <v>1.325</v>
      </c>
      <c r="BB36" s="63">
        <v>3.19</v>
      </c>
      <c r="BC36" s="63">
        <v>0.73299999999999998</v>
      </c>
      <c r="BD36" s="56">
        <v>0.70599999999999996</v>
      </c>
      <c r="BE36" s="56">
        <v>0.67600000000000005</v>
      </c>
      <c r="BF36" s="63">
        <v>0</v>
      </c>
      <c r="BG36" s="56">
        <v>23.879000000000001</v>
      </c>
      <c r="BH36" s="44" t="str">
        <f t="shared" si="0"/>
        <v>new food('n','Nuts brazilnuts dried unblanched','Snack','1 oz','28.35','14.32','67.1','11.74','3.43','659','2.33','7.5','2.43','376','725','659','3','4.06','1.743','1.223','1917','0','5.65','0','0','0','0.7','0.617','0.035','0.295','0.184','0.101','0','28.8','0','160','22','0.4','0.135','0.365','0.518','1.19','0.49','1.124','0.306','0.639','0.416','0.76','2.16','0.609','1.325','3.19','0.733','0.706','0.676','0','23.879'),</v>
      </c>
    </row>
    <row r="37" spans="1:60" ht="15" customHeight="1">
      <c r="A37" s="99">
        <v>170581</v>
      </c>
      <c r="B37" s="127" t="s">
        <v>362</v>
      </c>
      <c r="C37" s="61" t="s">
        <v>122</v>
      </c>
      <c r="D37" s="50" t="s">
        <v>285</v>
      </c>
      <c r="E37" s="60" t="s">
        <v>224</v>
      </c>
      <c r="F37" s="63">
        <v>28.35</v>
      </c>
      <c r="G37" s="56">
        <v>14.95</v>
      </c>
      <c r="H37" s="63">
        <v>0</v>
      </c>
      <c r="I37" s="117">
        <v>16.7</v>
      </c>
      <c r="J37" s="117">
        <v>2.29</v>
      </c>
      <c r="K37" s="63">
        <v>628</v>
      </c>
      <c r="L37" s="63">
        <v>4.34</v>
      </c>
      <c r="M37" s="63">
        <v>9.6999999999999993</v>
      </c>
      <c r="N37" s="63">
        <v>4.7</v>
      </c>
      <c r="O37" s="63">
        <v>163</v>
      </c>
      <c r="P37" s="63">
        <v>290</v>
      </c>
      <c r="Q37" s="63">
        <v>680</v>
      </c>
      <c r="R37" s="63">
        <v>0</v>
      </c>
      <c r="S37" s="63">
        <v>2.4500000000000002</v>
      </c>
      <c r="T37" s="63">
        <v>1.7250000000000001</v>
      </c>
      <c r="U37" s="56">
        <v>6.1749999999999998</v>
      </c>
      <c r="V37" s="56">
        <v>2.4</v>
      </c>
      <c r="W37" s="63">
        <v>0</v>
      </c>
      <c r="X37" s="63">
        <v>15.03</v>
      </c>
      <c r="Y37" s="63">
        <v>0</v>
      </c>
      <c r="Z37" s="63">
        <v>0</v>
      </c>
      <c r="AA37" s="63">
        <v>92</v>
      </c>
      <c r="AB37" s="56">
        <v>6.3</v>
      </c>
      <c r="AC37" s="56">
        <v>0.64300000000000002</v>
      </c>
      <c r="AD37" s="63">
        <v>0.113</v>
      </c>
      <c r="AE37" s="56">
        <v>1.8</v>
      </c>
      <c r="AF37" s="63">
        <v>0.91800000000000004</v>
      </c>
      <c r="AG37" s="56">
        <v>0.56299999999999994</v>
      </c>
      <c r="AH37" s="56"/>
      <c r="AI37" s="63">
        <v>0</v>
      </c>
      <c r="AJ37" s="117">
        <v>45.6</v>
      </c>
      <c r="AK37" s="63">
        <v>14.2</v>
      </c>
      <c r="AL37" s="117">
        <v>114</v>
      </c>
      <c r="AM37" s="63">
        <v>113</v>
      </c>
      <c r="AN37" s="117">
        <v>0.4</v>
      </c>
      <c r="AO37" s="63">
        <v>0.193</v>
      </c>
      <c r="AP37" s="63">
        <v>0.497</v>
      </c>
      <c r="AQ37" s="63">
        <v>0.54500000000000004</v>
      </c>
      <c r="AR37" s="63">
        <v>1.0629999999999999</v>
      </c>
      <c r="AS37" s="63">
        <v>0.42</v>
      </c>
      <c r="AT37" s="63">
        <v>0.221</v>
      </c>
      <c r="AU37" s="63">
        <v>0.27700000000000002</v>
      </c>
      <c r="AV37" s="63">
        <v>0.66300000000000003</v>
      </c>
      <c r="AW37" s="63">
        <v>0.36199999999999999</v>
      </c>
      <c r="AX37" s="63">
        <v>0.70099999999999996</v>
      </c>
      <c r="AY37" s="117">
        <v>2.2109999999999999</v>
      </c>
      <c r="AZ37" s="117">
        <v>0.73</v>
      </c>
      <c r="BA37" s="117">
        <v>1.679</v>
      </c>
      <c r="BB37" s="63">
        <v>3.71</v>
      </c>
      <c r="BC37" s="63">
        <v>0.72399999999999998</v>
      </c>
      <c r="BD37" s="63">
        <v>0.56100000000000005</v>
      </c>
      <c r="BE37" s="63">
        <v>0.73499999999999999</v>
      </c>
      <c r="BF37" s="56">
        <v>0</v>
      </c>
      <c r="BG37" s="63">
        <v>45.052</v>
      </c>
      <c r="BH37" s="44" t="str">
        <f t="shared" si="0"/>
        <v>new food('n','Nuts hazelnuts or filberts','Snack','1 oz','28.35','14.95','0','16.7','2.29','628','4.34','9.7','4.7','163','290','680','0','2.45','1.725','6.175','2.4','0','15.03','0','0','92','6.3','0.643','0.113','1.8','0.918','0.563','0','45.6','14.2','114','113','0.4','0.193','0.497','0.545','1.063','0.42','0.221','0.277','0.663','0.362','0.701','2.211','0.73','1.679','3.71','0.724','0.561','0.735','0','45.052'),</v>
      </c>
    </row>
    <row r="38" spans="1:60" ht="14.25" customHeight="1">
      <c r="A38" s="99">
        <v>170185</v>
      </c>
      <c r="B38" s="127" t="s">
        <v>362</v>
      </c>
      <c r="C38" s="61" t="s">
        <v>304</v>
      </c>
      <c r="D38" s="84" t="s">
        <v>285</v>
      </c>
      <c r="E38" s="60" t="s">
        <v>221</v>
      </c>
      <c r="F38" s="63">
        <v>123</v>
      </c>
      <c r="G38" s="63">
        <v>21.05</v>
      </c>
      <c r="H38" s="56">
        <v>45.82</v>
      </c>
      <c r="I38" s="117">
        <v>28.28</v>
      </c>
      <c r="J38" s="117">
        <v>3</v>
      </c>
      <c r="K38" s="56">
        <v>572</v>
      </c>
      <c r="L38" s="56">
        <v>7.74</v>
      </c>
      <c r="M38" s="63">
        <v>10.3</v>
      </c>
      <c r="N38" s="63">
        <v>4.03</v>
      </c>
      <c r="O38" s="56">
        <v>109</v>
      </c>
      <c r="P38" s="63">
        <v>469</v>
      </c>
      <c r="Q38" s="63">
        <v>1007</v>
      </c>
      <c r="R38" s="63">
        <v>6</v>
      </c>
      <c r="S38" s="56">
        <v>2.34</v>
      </c>
      <c r="T38" s="56">
        <v>1.2929999999999999</v>
      </c>
      <c r="U38" s="56">
        <v>1.2430000000000001</v>
      </c>
      <c r="V38" s="56">
        <v>10</v>
      </c>
      <c r="W38" s="56">
        <v>0</v>
      </c>
      <c r="X38" s="56">
        <v>2.17</v>
      </c>
      <c r="Y38" s="56">
        <v>0</v>
      </c>
      <c r="Z38" s="56">
        <v>0</v>
      </c>
      <c r="AA38" s="56">
        <v>1160</v>
      </c>
      <c r="AB38" s="56">
        <v>3</v>
      </c>
      <c r="AC38" s="56">
        <v>0.69499999999999995</v>
      </c>
      <c r="AD38" s="56">
        <v>0.23400000000000001</v>
      </c>
      <c r="AE38" s="56">
        <v>1.373</v>
      </c>
      <c r="AF38" s="56">
        <v>0.51300000000000001</v>
      </c>
      <c r="AG38" s="56">
        <v>1.1220000000000001</v>
      </c>
      <c r="AH38" s="56"/>
      <c r="AI38" s="56">
        <v>0</v>
      </c>
      <c r="AJ38" s="63">
        <v>71.400000000000006</v>
      </c>
      <c r="AK38" s="63">
        <v>13.2</v>
      </c>
      <c r="AL38" s="144">
        <v>107</v>
      </c>
      <c r="AM38" s="63">
        <v>51</v>
      </c>
      <c r="AN38" s="117">
        <v>0.8</v>
      </c>
      <c r="AO38" s="56">
        <v>0.26200000000000001</v>
      </c>
      <c r="AP38" s="56">
        <v>0.71399999999999997</v>
      </c>
      <c r="AQ38" s="56">
        <v>0.95699999999999996</v>
      </c>
      <c r="AR38" s="56">
        <v>1.675</v>
      </c>
      <c r="AS38" s="56">
        <v>1.1890000000000001</v>
      </c>
      <c r="AT38" s="56">
        <v>0.375</v>
      </c>
      <c r="AU38" s="56">
        <v>0.30499999999999999</v>
      </c>
      <c r="AV38" s="56">
        <v>1.1399999999999999</v>
      </c>
      <c r="AW38" s="56">
        <v>0.53100000000000003</v>
      </c>
      <c r="AX38" s="56">
        <v>1.3049999999999999</v>
      </c>
      <c r="AY38" s="144">
        <v>2.2280000000000002</v>
      </c>
      <c r="AZ38" s="144">
        <v>1.016</v>
      </c>
      <c r="BA38" s="144">
        <v>1.968</v>
      </c>
      <c r="BB38" s="56">
        <v>4.49</v>
      </c>
      <c r="BC38" s="56">
        <v>1.054</v>
      </c>
      <c r="BD38" s="56">
        <v>0.98</v>
      </c>
      <c r="BE38" s="56">
        <v>1.34</v>
      </c>
      <c r="BF38" s="56">
        <v>0</v>
      </c>
      <c r="BG38" s="56">
        <v>24.533999999999999</v>
      </c>
      <c r="BH38" s="44" t="str">
        <f t="shared" si="0"/>
        <v>new food('n','Nuts pistachio','Snack','1 cup','123','21.05','45.82','28.28','3','572','7.74','10.3','4.03','109','469','1007','6','2.34','1.293','1.243','10','0','2.17','0','0','1160','3','0.695','0.234','1.373','0.513','1.122','0','71.4','13.2','107','51','0.8','0.262','0.714','0.957','1.675','1.189','0.375','0.305','1.14','0.531','1.305','2.228','1.016','1.968','4.49','1.054','0.98','1.34','0','24.534'),</v>
      </c>
    </row>
    <row r="39" spans="1:60" ht="15" customHeight="1">
      <c r="A39" s="97">
        <v>173904</v>
      </c>
      <c r="B39" s="128" t="s">
        <v>362</v>
      </c>
      <c r="C39" s="57" t="s">
        <v>282</v>
      </c>
      <c r="D39" s="50" t="s">
        <v>285</v>
      </c>
      <c r="E39" s="58" t="s">
        <v>235</v>
      </c>
      <c r="F39" s="56">
        <v>27</v>
      </c>
      <c r="G39" s="142">
        <v>13.15</v>
      </c>
      <c r="H39" s="142">
        <v>6.52</v>
      </c>
      <c r="I39" s="141">
        <v>67.7</v>
      </c>
      <c r="J39" s="141">
        <v>1.77</v>
      </c>
      <c r="K39" s="141">
        <v>379</v>
      </c>
      <c r="L39" s="141">
        <v>0.99</v>
      </c>
      <c r="M39" s="142">
        <v>10.1</v>
      </c>
      <c r="N39" s="142">
        <v>4.25</v>
      </c>
      <c r="O39" s="142">
        <v>138</v>
      </c>
      <c r="P39" s="56">
        <v>410</v>
      </c>
      <c r="Q39" s="142">
        <v>362</v>
      </c>
      <c r="R39" s="142">
        <v>6</v>
      </c>
      <c r="S39" s="142">
        <v>3.64</v>
      </c>
      <c r="T39" s="56">
        <v>0.39100000000000001</v>
      </c>
      <c r="U39" s="142">
        <v>3.63</v>
      </c>
      <c r="V39" s="141">
        <v>28.9</v>
      </c>
      <c r="W39" s="142">
        <v>0</v>
      </c>
      <c r="X39" s="142">
        <v>0.42</v>
      </c>
      <c r="Y39" s="142">
        <v>0</v>
      </c>
      <c r="Z39" s="56">
        <v>0</v>
      </c>
      <c r="AA39" s="142">
        <v>180</v>
      </c>
      <c r="AB39" s="142">
        <v>0</v>
      </c>
      <c r="AC39" s="141">
        <v>0.46</v>
      </c>
      <c r="AD39" s="141">
        <v>0.155</v>
      </c>
      <c r="AE39" s="142">
        <v>1.125</v>
      </c>
      <c r="AF39" s="63">
        <v>1.1200000000000001</v>
      </c>
      <c r="AG39" s="56">
        <v>0.1</v>
      </c>
      <c r="AH39" s="56"/>
      <c r="AI39" s="56">
        <v>0</v>
      </c>
      <c r="AJ39" s="63">
        <v>40.4</v>
      </c>
      <c r="AK39" s="141">
        <v>2</v>
      </c>
      <c r="AL39" s="142">
        <v>52</v>
      </c>
      <c r="AM39" s="142">
        <v>32</v>
      </c>
      <c r="AN39" s="141">
        <v>0</v>
      </c>
      <c r="AO39" s="142">
        <v>0.182</v>
      </c>
      <c r="AP39" s="142">
        <v>0.38200000000000001</v>
      </c>
      <c r="AQ39" s="142">
        <v>0.503</v>
      </c>
      <c r="AR39" s="142">
        <v>0.98</v>
      </c>
      <c r="AS39" s="142">
        <v>0.63700000000000001</v>
      </c>
      <c r="AT39" s="142">
        <v>0.20699999999999999</v>
      </c>
      <c r="AU39" s="142">
        <v>0.45500000000000002</v>
      </c>
      <c r="AV39" s="56">
        <v>6.9000000000000006E-2</v>
      </c>
      <c r="AW39" s="142">
        <v>0.39500000000000002</v>
      </c>
      <c r="AX39" s="142">
        <v>0.68799999999999994</v>
      </c>
      <c r="AY39" s="142">
        <v>0.85</v>
      </c>
      <c r="AZ39" s="142">
        <v>0.56299999999999994</v>
      </c>
      <c r="BA39" s="59">
        <v>1.2170000000000001</v>
      </c>
      <c r="BB39" s="142">
        <v>2.83</v>
      </c>
      <c r="BC39" s="142">
        <v>0.64200000000000002</v>
      </c>
      <c r="BD39" s="142">
        <v>0.45100000000000001</v>
      </c>
      <c r="BE39" s="142">
        <v>0.70499999999999996</v>
      </c>
      <c r="BF39" s="142">
        <v>0</v>
      </c>
      <c r="BG39" s="142">
        <v>1.98</v>
      </c>
      <c r="BH39" s="44" t="str">
        <f t="shared" si="0"/>
        <v>new food('n','Oatmeal','Snack','27 gm','27','13.15','6.52','67.7','1.77','379','0.99','10.1','4.25','138','410','362','6','3.64','0.391','3.63','28.9','0','0.42','0','0','180','0','0.46','0.155','1.125','1.12','0.1','0','40.4','2','52','32','0','0.182','0.382','0.503','0.98','0.637','0.207','0.455','0.069','0.395','0.688','0.85','0.563','1.217','2.83','0.642','0.451','0.705','0','1.98'),</v>
      </c>
    </row>
    <row r="40" spans="1:60" ht="15" customHeight="1">
      <c r="A40" s="99">
        <v>169118</v>
      </c>
      <c r="B40" s="127" t="s">
        <v>362</v>
      </c>
      <c r="C40" s="61" t="s">
        <v>79</v>
      </c>
      <c r="D40" s="60" t="s">
        <v>87</v>
      </c>
      <c r="E40" s="58" t="s">
        <v>232</v>
      </c>
      <c r="F40" s="56">
        <v>178</v>
      </c>
      <c r="G40" s="117">
        <v>3.5999999999999997E-2</v>
      </c>
      <c r="H40" s="144">
        <v>0.14000000000000001</v>
      </c>
      <c r="I40" s="63">
        <v>15.23</v>
      </c>
      <c r="J40" s="63">
        <v>0.32</v>
      </c>
      <c r="K40" s="63">
        <v>57</v>
      </c>
      <c r="L40" s="117">
        <v>9.75</v>
      </c>
      <c r="M40" s="56">
        <v>3.1</v>
      </c>
      <c r="N40" s="144">
        <v>0.18</v>
      </c>
      <c r="O40" s="144">
        <v>7</v>
      </c>
      <c r="P40" s="117">
        <v>12</v>
      </c>
      <c r="Q40" s="117">
        <v>116</v>
      </c>
      <c r="R40" s="144">
        <v>1</v>
      </c>
      <c r="S40" s="117">
        <v>0.1</v>
      </c>
      <c r="T40" s="63">
        <v>8.2000000000000003E-2</v>
      </c>
      <c r="U40" s="144">
        <v>4.8000000000000001E-2</v>
      </c>
      <c r="V40" s="144">
        <v>0.1</v>
      </c>
      <c r="W40" s="117">
        <v>0</v>
      </c>
      <c r="X40" s="144">
        <v>0.12</v>
      </c>
      <c r="Y40" s="144">
        <v>0</v>
      </c>
      <c r="Z40" s="56">
        <v>2</v>
      </c>
      <c r="AA40" s="144">
        <v>44</v>
      </c>
      <c r="AB40" s="144">
        <v>4.3</v>
      </c>
      <c r="AC40" s="144">
        <v>1.2E-2</v>
      </c>
      <c r="AD40" s="117">
        <v>2.5999999999999999E-2</v>
      </c>
      <c r="AE40" s="117">
        <v>0.161</v>
      </c>
      <c r="AF40" s="117">
        <v>4.9000000000000002E-2</v>
      </c>
      <c r="AG40" s="117">
        <v>2.9000000000000001E-2</v>
      </c>
      <c r="AH40" s="117"/>
      <c r="AI40" s="144">
        <v>0</v>
      </c>
      <c r="AJ40" s="56">
        <v>5.0999999999999996</v>
      </c>
      <c r="AK40" s="144">
        <v>4.4000000000000004</v>
      </c>
      <c r="AL40" s="63">
        <v>9</v>
      </c>
      <c r="AM40" s="56">
        <v>7</v>
      </c>
      <c r="AN40" s="56">
        <v>0.2</v>
      </c>
      <c r="AO40" s="144">
        <v>2E-3</v>
      </c>
      <c r="AP40" s="117">
        <v>1.0999999999999999E-2</v>
      </c>
      <c r="AQ40" s="117">
        <v>1.0999999999999999E-2</v>
      </c>
      <c r="AR40" s="117">
        <v>1.9E-2</v>
      </c>
      <c r="AS40" s="117">
        <v>1.7000000000000001E-2</v>
      </c>
      <c r="AT40" s="117">
        <v>2E-3</v>
      </c>
      <c r="AU40" s="63">
        <v>2E-3</v>
      </c>
      <c r="AV40" s="117">
        <v>1.0999999999999999E-2</v>
      </c>
      <c r="AW40" s="117">
        <v>2E-3</v>
      </c>
      <c r="AX40" s="117">
        <v>1.7000000000000001E-2</v>
      </c>
      <c r="AY40" s="63">
        <v>0.01</v>
      </c>
      <c r="AZ40" s="63">
        <v>1.4E-2</v>
      </c>
      <c r="BA40" s="56">
        <v>0.105</v>
      </c>
      <c r="BB40" s="56">
        <v>0.03</v>
      </c>
      <c r="BC40" s="56">
        <v>1.2999999999999999E-2</v>
      </c>
      <c r="BD40" s="144">
        <v>2.1000000000000001E-2</v>
      </c>
      <c r="BE40" s="144">
        <v>1.4999999999999999E-2</v>
      </c>
      <c r="BF40" s="56">
        <v>0</v>
      </c>
      <c r="BG40" s="63">
        <v>8.4000000000000005E-2</v>
      </c>
      <c r="BH40" s="44" t="str">
        <f t="shared" si="0"/>
        <v>new food('n','Pears raw','Fruit','1 med','178','0.036','0.14','15.23','0.32','57','9.75','3.1','0.18','7','12','116','1','0.1','0.082','0.048','0.1','0','0.12','0','2','44','4.3','0.012','0.026','0.161','0.049','0.029','0','5.1','4.4','9','7','0.2','0.002','0.011','0.011','0.019','0.017','0.002','0.002','0.011','0.002','0.017','0.01','0.014','0.105','0.03','0.013','0.021','0.015','0','0.084'),</v>
      </c>
    </row>
    <row r="41" spans="1:60" ht="15" customHeight="1">
      <c r="A41" s="97">
        <v>170017</v>
      </c>
      <c r="B41" s="128" t="s">
        <v>362</v>
      </c>
      <c r="C41" s="57" t="s">
        <v>107</v>
      </c>
      <c r="D41" s="60" t="s">
        <v>88</v>
      </c>
      <c r="E41" s="58" t="s">
        <v>233</v>
      </c>
      <c r="F41" s="56">
        <v>80</v>
      </c>
      <c r="G41" s="117">
        <v>5.15</v>
      </c>
      <c r="H41" s="144">
        <v>0.27</v>
      </c>
      <c r="I41" s="63">
        <v>14.26</v>
      </c>
      <c r="J41" s="63">
        <v>0.8</v>
      </c>
      <c r="K41" s="144">
        <v>78</v>
      </c>
      <c r="L41" s="144">
        <v>4.4000000000000004</v>
      </c>
      <c r="M41" s="144">
        <v>4.5</v>
      </c>
      <c r="N41" s="144">
        <v>1.52</v>
      </c>
      <c r="O41" s="144">
        <v>22</v>
      </c>
      <c r="P41" s="144">
        <v>77</v>
      </c>
      <c r="Q41" s="144">
        <v>110</v>
      </c>
      <c r="R41" s="144">
        <v>72</v>
      </c>
      <c r="S41" s="144">
        <v>0.67</v>
      </c>
      <c r="T41" s="63">
        <v>0.105</v>
      </c>
      <c r="U41" s="117">
        <v>0.27900000000000003</v>
      </c>
      <c r="V41" s="117">
        <v>0.17199999999999999</v>
      </c>
      <c r="W41" s="117">
        <v>0</v>
      </c>
      <c r="X41" s="117">
        <v>0.03</v>
      </c>
      <c r="Y41" s="117">
        <v>0</v>
      </c>
      <c r="Z41" s="63">
        <v>0</v>
      </c>
      <c r="AA41" s="117">
        <v>2400</v>
      </c>
      <c r="AB41" s="117">
        <v>9.9</v>
      </c>
      <c r="AC41" s="117">
        <v>0.28299999999999997</v>
      </c>
      <c r="AD41" s="117">
        <v>0.1</v>
      </c>
      <c r="AE41" s="117">
        <v>1.48</v>
      </c>
      <c r="AF41" s="117">
        <v>0.14199999999999999</v>
      </c>
      <c r="AG41" s="117">
        <v>0.113</v>
      </c>
      <c r="AH41" s="117"/>
      <c r="AI41" s="117">
        <v>0</v>
      </c>
      <c r="AJ41" s="63">
        <v>27.5</v>
      </c>
      <c r="AK41" s="117">
        <v>24</v>
      </c>
      <c r="AL41" s="63">
        <v>24</v>
      </c>
      <c r="AM41" s="117">
        <v>59</v>
      </c>
      <c r="AN41" s="63">
        <v>0.1</v>
      </c>
      <c r="AO41" s="117">
        <v>3.5000000000000003E-2</v>
      </c>
      <c r="AP41" s="117">
        <v>0.193</v>
      </c>
      <c r="AQ41" s="117">
        <v>0.185</v>
      </c>
      <c r="AR41" s="117">
        <v>0.307</v>
      </c>
      <c r="AS41" s="117">
        <v>0.30199999999999999</v>
      </c>
      <c r="AT41" s="117">
        <v>7.8E-2</v>
      </c>
      <c r="AU41" s="63">
        <v>0.03</v>
      </c>
      <c r="AV41" s="117">
        <v>0.19</v>
      </c>
      <c r="AW41" s="117">
        <v>0.108</v>
      </c>
      <c r="AX41" s="117">
        <v>0.223</v>
      </c>
      <c r="AY41" s="63">
        <v>0.40699999999999997</v>
      </c>
      <c r="AZ41" s="63">
        <v>0.22800000000000001</v>
      </c>
      <c r="BA41" s="63">
        <v>0.47099999999999997</v>
      </c>
      <c r="BB41" s="117">
        <v>0.70499999999999996</v>
      </c>
      <c r="BC41" s="144">
        <v>0.17499999999999999</v>
      </c>
      <c r="BD41" s="117">
        <v>0.16500000000000001</v>
      </c>
      <c r="BE41" s="117">
        <v>0.17199999999999999</v>
      </c>
      <c r="BF41" s="63">
        <v>0</v>
      </c>
      <c r="BG41" s="117">
        <v>2.4E-2</v>
      </c>
      <c r="BH41" s="44" t="str">
        <f t="shared" si="0"/>
        <v>new food('n','Peas green frozen ','Veg','.5 cup','80','5.15','0.27','14.26','0.8','78','4.4','4.5','1.52','22','77','110','72','0.67','0.105','0.279','0.172','0','0.03','0','0','2400','9.9','0.283','0.1','1.48','0.142','0.113','0','27.5','24','24','59','0.1','0.035','0.193','0.185','0.307','0.302','0.078','0.03','0.19','0.108','0.223','0.407','0.228','0.471','0.705','0.175','0.165','0.172','0','0.024'),</v>
      </c>
    </row>
    <row r="42" spans="1:60" ht="15" customHeight="1">
      <c r="A42" s="101">
        <v>168250</v>
      </c>
      <c r="B42" s="129">
        <v>1</v>
      </c>
      <c r="C42" s="45" t="s">
        <v>101</v>
      </c>
      <c r="D42" s="50" t="s">
        <v>207</v>
      </c>
      <c r="E42" s="84" t="s">
        <v>222</v>
      </c>
      <c r="F42" s="144">
        <v>85</v>
      </c>
      <c r="G42" s="117">
        <v>26.17</v>
      </c>
      <c r="H42" s="117">
        <v>3.51</v>
      </c>
      <c r="I42" s="117">
        <v>0</v>
      </c>
      <c r="J42" s="117">
        <v>1.21</v>
      </c>
      <c r="K42" s="117">
        <v>143</v>
      </c>
      <c r="L42" s="117">
        <v>0</v>
      </c>
      <c r="M42" s="117">
        <v>0</v>
      </c>
      <c r="N42" s="117">
        <v>1.1499999999999999</v>
      </c>
      <c r="O42" s="117">
        <v>29</v>
      </c>
      <c r="P42" s="144">
        <v>267</v>
      </c>
      <c r="Q42" s="117">
        <v>421</v>
      </c>
      <c r="R42" s="117">
        <v>0.56999999999999995</v>
      </c>
      <c r="S42" s="117">
        <v>2.42</v>
      </c>
      <c r="T42" s="117">
        <v>0.111</v>
      </c>
      <c r="U42" s="117">
        <v>1.2999999999999999E-2</v>
      </c>
      <c r="V42" s="144">
        <v>38.200000000000003</v>
      </c>
      <c r="W42" s="117">
        <v>0</v>
      </c>
      <c r="X42" s="117">
        <v>0</v>
      </c>
      <c r="Y42" s="117">
        <v>10</v>
      </c>
      <c r="Z42" s="117">
        <v>0</v>
      </c>
      <c r="AA42" s="117">
        <v>0</v>
      </c>
      <c r="AB42" s="117">
        <v>0</v>
      </c>
      <c r="AC42" s="117">
        <v>0.95</v>
      </c>
      <c r="AD42" s="117">
        <v>0.38700000000000001</v>
      </c>
      <c r="AE42" s="144">
        <v>7.4320000000000004</v>
      </c>
      <c r="AF42" s="117">
        <v>1.012</v>
      </c>
      <c r="AG42" s="117">
        <v>0.73899999999999999</v>
      </c>
      <c r="AH42" s="117"/>
      <c r="AI42" s="117">
        <v>0.56999999999999995</v>
      </c>
      <c r="AJ42" s="144">
        <v>88.9</v>
      </c>
      <c r="AK42" s="117">
        <v>0</v>
      </c>
      <c r="AL42" s="144">
        <v>6</v>
      </c>
      <c r="AM42" s="144">
        <v>0</v>
      </c>
      <c r="AN42" s="144">
        <v>4.3</v>
      </c>
      <c r="AO42" s="117">
        <v>0.27500000000000002</v>
      </c>
      <c r="AP42" s="117">
        <v>1.175</v>
      </c>
      <c r="AQ42" s="117">
        <v>1.288</v>
      </c>
      <c r="AR42" s="117">
        <v>2.2290000000000001</v>
      </c>
      <c r="AS42" s="117">
        <v>2.427</v>
      </c>
      <c r="AT42" s="117">
        <v>0.72099999999999997</v>
      </c>
      <c r="AU42" s="144">
        <v>0.30199999999999999</v>
      </c>
      <c r="AV42" s="117">
        <v>1.1000000000000001</v>
      </c>
      <c r="AW42" s="117">
        <v>0.996</v>
      </c>
      <c r="AX42" s="117">
        <v>1.367</v>
      </c>
      <c r="AY42" s="144">
        <v>1.7410000000000001</v>
      </c>
      <c r="AZ42" s="117">
        <v>1.536</v>
      </c>
      <c r="BA42" s="117">
        <v>2.56</v>
      </c>
      <c r="BB42" s="117">
        <v>4.1769999999999996</v>
      </c>
      <c r="BC42" s="144">
        <v>1.179</v>
      </c>
      <c r="BD42" s="144">
        <v>1.0580000000000001</v>
      </c>
      <c r="BE42" s="144">
        <v>1.131</v>
      </c>
      <c r="BF42" s="144">
        <v>73</v>
      </c>
      <c r="BG42" s="144">
        <v>1.3340000000000001</v>
      </c>
      <c r="BH42" s="44" t="str">
        <f t="shared" si="0"/>
        <v>new food('1','Pork tenderloin','Entre','3 oz','85','26.17','3.51','0','1.21','143','0','0','1.15','29','267','421','0.57','2.42','0.111','0.013','38.2','0','0','10','0','0','0','0.95','0.387','7.432','1.012','0.739','0.57','88.9','0','6','0','4.3','0.275','1.175','1.288','2.229','2.427','0.721','0.302','1.1','0.996','1.367','1.741','1.536','2.56','4.177','1.179','1.058','1.131','73','1.334'),</v>
      </c>
    </row>
    <row r="43" spans="1:60" ht="15" customHeight="1">
      <c r="A43" s="101">
        <v>170440</v>
      </c>
      <c r="B43" s="129" t="s">
        <v>362</v>
      </c>
      <c r="C43" s="45" t="s">
        <v>108</v>
      </c>
      <c r="D43" s="50" t="s">
        <v>279</v>
      </c>
      <c r="E43" s="84" t="s">
        <v>229</v>
      </c>
      <c r="F43" s="144">
        <v>300</v>
      </c>
      <c r="G43" s="144">
        <v>1.71</v>
      </c>
      <c r="H43" s="117">
        <v>0.1</v>
      </c>
      <c r="I43" s="117">
        <v>20.010000000000002</v>
      </c>
      <c r="J43" s="144">
        <v>0.72</v>
      </c>
      <c r="K43" s="117">
        <v>86</v>
      </c>
      <c r="L43" s="144">
        <v>0.89</v>
      </c>
      <c r="M43" s="117">
        <v>1.8</v>
      </c>
      <c r="N43" s="144">
        <v>0.31</v>
      </c>
      <c r="O43" s="117">
        <v>20</v>
      </c>
      <c r="P43" s="144">
        <v>40</v>
      </c>
      <c r="Q43" s="144">
        <v>328</v>
      </c>
      <c r="R43" s="144">
        <v>5</v>
      </c>
      <c r="S43" s="144">
        <v>0.27</v>
      </c>
      <c r="T43" s="144">
        <v>0.16700000000000001</v>
      </c>
      <c r="U43" s="144">
        <v>0.14000000000000001</v>
      </c>
      <c r="V43" s="144">
        <v>0.3</v>
      </c>
      <c r="W43" s="117">
        <v>0</v>
      </c>
      <c r="X43" s="117">
        <v>0.01</v>
      </c>
      <c r="Y43" s="117">
        <v>0</v>
      </c>
      <c r="Z43" s="117">
        <v>0</v>
      </c>
      <c r="AA43" s="144">
        <v>9</v>
      </c>
      <c r="AB43" s="144">
        <v>7.4</v>
      </c>
      <c r="AC43" s="144">
        <v>9.8000000000000004E-2</v>
      </c>
      <c r="AD43" s="117">
        <v>1.9E-2</v>
      </c>
      <c r="AE43" s="144">
        <v>1.3120000000000001</v>
      </c>
      <c r="AF43" s="144">
        <v>0.50800000000000001</v>
      </c>
      <c r="AG43" s="144">
        <v>0.26900000000000002</v>
      </c>
      <c r="AH43" s="144"/>
      <c r="AI43" s="144">
        <v>0</v>
      </c>
      <c r="AJ43" s="117">
        <v>13.2</v>
      </c>
      <c r="AK43" s="144">
        <v>2.2000000000000002</v>
      </c>
      <c r="AL43" s="117">
        <v>8</v>
      </c>
      <c r="AM43" s="117">
        <v>9</v>
      </c>
      <c r="AN43" s="117">
        <v>0.2</v>
      </c>
      <c r="AO43" s="144">
        <v>2.7E-2</v>
      </c>
      <c r="AP43" s="144">
        <v>6.2E-2</v>
      </c>
      <c r="AQ43" s="144">
        <v>0.02</v>
      </c>
      <c r="AR43" s="144">
        <v>0.10299999999999999</v>
      </c>
      <c r="AS43" s="144">
        <v>0.104</v>
      </c>
      <c r="AT43" s="144">
        <v>0.27</v>
      </c>
      <c r="AU43" s="117">
        <v>2.1999999999999999E-2</v>
      </c>
      <c r="AV43" s="144">
        <v>7.5999999999999998E-2</v>
      </c>
      <c r="AW43" s="144">
        <v>6.4000000000000001E-2</v>
      </c>
      <c r="AX43" s="144">
        <v>8.5999999999999993E-2</v>
      </c>
      <c r="AY43" s="117">
        <v>7.9000000000000001E-2</v>
      </c>
      <c r="AZ43" s="117">
        <v>5.2999999999999999E-2</v>
      </c>
      <c r="BA43" s="144">
        <v>0.41899999999999998</v>
      </c>
      <c r="BB43" s="144">
        <v>0.20699999999999999</v>
      </c>
      <c r="BC43" s="144">
        <v>5.0999999999999997E-2</v>
      </c>
      <c r="BD43" s="117">
        <v>6.2E-2</v>
      </c>
      <c r="BE43" s="117">
        <v>7.4999999999999997E-2</v>
      </c>
      <c r="BF43" s="144">
        <v>0</v>
      </c>
      <c r="BG43" s="117">
        <v>0</v>
      </c>
      <c r="BH43" s="44" t="str">
        <f t="shared" si="0"/>
        <v>new food('n','Potatoes without skins','Grain','1 lg','300','1.71','0.1','20.01','0.72','86','0.89','1.8','0.31','20','40','328','5','0.27','0.167','0.14','0.3','0','0.01','0','0','9','7.4','0.098','0.019','1.312','0.508','0.269','0','13.2','2.2','8','9','0.2','0.027','0.062','0.02','0.103','0.104','0.27','0.022','0.076','0.064','0.086','0.079','0.053','0.419','0.207','0.051','0.062','0.075','0','0'),</v>
      </c>
    </row>
    <row r="44" spans="1:60" ht="15.75" customHeight="1">
      <c r="A44" s="99">
        <v>167755</v>
      </c>
      <c r="B44" s="127" t="s">
        <v>362</v>
      </c>
      <c r="C44" s="61" t="s">
        <v>81</v>
      </c>
      <c r="D44" s="60" t="s">
        <v>87</v>
      </c>
      <c r="E44" s="60" t="s">
        <v>221</v>
      </c>
      <c r="F44" s="63">
        <v>123</v>
      </c>
      <c r="G44" s="56">
        <v>1.2</v>
      </c>
      <c r="H44" s="56">
        <v>0.65</v>
      </c>
      <c r="I44" s="56">
        <v>11.94</v>
      </c>
      <c r="J44" s="63">
        <v>0.46</v>
      </c>
      <c r="K44" s="56">
        <v>52</v>
      </c>
      <c r="L44" s="56">
        <v>4.42</v>
      </c>
      <c r="M44" s="56">
        <v>6.5</v>
      </c>
      <c r="N44" s="56">
        <v>0.69</v>
      </c>
      <c r="O44" s="56">
        <v>22</v>
      </c>
      <c r="P44" s="56">
        <v>29</v>
      </c>
      <c r="Q44" s="56">
        <v>151</v>
      </c>
      <c r="R44" s="56">
        <v>1</v>
      </c>
      <c r="S44" s="56">
        <v>0.42</v>
      </c>
      <c r="T44" s="63">
        <v>0.09</v>
      </c>
      <c r="U44" s="56">
        <v>0.67</v>
      </c>
      <c r="V44" s="56">
        <v>0.2</v>
      </c>
      <c r="W44" s="56">
        <v>0</v>
      </c>
      <c r="X44" s="56">
        <v>0.87</v>
      </c>
      <c r="Y44" s="56">
        <v>0</v>
      </c>
      <c r="Z44" s="63">
        <v>0</v>
      </c>
      <c r="AA44" s="63">
        <v>136</v>
      </c>
      <c r="AB44" s="56">
        <v>26.2</v>
      </c>
      <c r="AC44" s="56">
        <v>3.2000000000000001E-2</v>
      </c>
      <c r="AD44" s="56">
        <v>3.7999999999999999E-2</v>
      </c>
      <c r="AE44" s="56">
        <v>0.59799999999999998</v>
      </c>
      <c r="AF44" s="56">
        <v>0.32900000000000001</v>
      </c>
      <c r="AG44" s="56">
        <v>5.5E-2</v>
      </c>
      <c r="AH44" s="56"/>
      <c r="AI44" s="63">
        <v>0</v>
      </c>
      <c r="AJ44" s="63">
        <v>12.3</v>
      </c>
      <c r="AK44" s="56">
        <v>7.8</v>
      </c>
      <c r="AL44" s="56">
        <v>25</v>
      </c>
      <c r="AM44" s="56">
        <v>21</v>
      </c>
      <c r="AN44" s="63">
        <v>0.8</v>
      </c>
      <c r="AO44" s="56">
        <v>0</v>
      </c>
      <c r="AP44" s="56">
        <v>0</v>
      </c>
      <c r="AQ44" s="63">
        <v>0</v>
      </c>
      <c r="AR44" s="63">
        <v>0</v>
      </c>
      <c r="AS44" s="63">
        <v>0</v>
      </c>
      <c r="AT44" s="63">
        <v>0</v>
      </c>
      <c r="AU44" s="56">
        <v>0</v>
      </c>
      <c r="AV44" s="56">
        <v>0</v>
      </c>
      <c r="AW44" s="56">
        <v>0</v>
      </c>
      <c r="AX44" s="56">
        <v>0</v>
      </c>
      <c r="AY44" s="56">
        <v>0</v>
      </c>
      <c r="AZ44" s="63">
        <v>0</v>
      </c>
      <c r="BA44" s="63">
        <v>0</v>
      </c>
      <c r="BB44" s="63">
        <v>0</v>
      </c>
      <c r="BC44" s="63">
        <v>0</v>
      </c>
      <c r="BD44" s="63">
        <v>0</v>
      </c>
      <c r="BE44" s="63">
        <v>0</v>
      </c>
      <c r="BF44" s="56">
        <v>0</v>
      </c>
      <c r="BG44" s="56">
        <v>6.4000000000000001E-2</v>
      </c>
      <c r="BH44" s="44" t="str">
        <f t="shared" si="0"/>
        <v>new food('n','Raspberries raw','Fruit','1 cup','123','1.2','0.65','11.94','0.46','52','4.42','6.5','0.69','22','29','151','1','0.42','0.09','0.67','0.2','0','0.87','0','0','136','26.2','0.032','0.038','0.598','0.329','0.055','0','12.3','7.8','25','21','0.8','0','0','0','0','0','0','0','0','0','0','0','0','0','0','0','0','0','0','0.064'),</v>
      </c>
    </row>
    <row r="45" spans="1:60" ht="15.6">
      <c r="A45" s="99">
        <v>168763</v>
      </c>
      <c r="B45" s="127" t="s">
        <v>362</v>
      </c>
      <c r="C45" s="61" t="s">
        <v>102</v>
      </c>
      <c r="D45" s="60" t="s">
        <v>285</v>
      </c>
      <c r="E45" s="60" t="s">
        <v>234</v>
      </c>
      <c r="F45" s="63">
        <v>17</v>
      </c>
      <c r="G45" s="117">
        <v>20.48</v>
      </c>
      <c r="H45" s="144">
        <v>30.53</v>
      </c>
      <c r="I45" s="117">
        <v>110.72</v>
      </c>
      <c r="J45" s="117">
        <v>2.2799999999999998</v>
      </c>
      <c r="K45" s="117">
        <v>1030</v>
      </c>
      <c r="L45" s="144">
        <v>94.24</v>
      </c>
      <c r="M45" s="144">
        <v>3.6</v>
      </c>
      <c r="N45" s="144">
        <v>1.21</v>
      </c>
      <c r="O45" s="144">
        <v>62</v>
      </c>
      <c r="P45" s="144">
        <v>322</v>
      </c>
      <c r="Q45" s="144">
        <v>682</v>
      </c>
      <c r="R45" s="144">
        <v>357</v>
      </c>
      <c r="S45" s="144">
        <v>1.28</v>
      </c>
      <c r="T45" s="144">
        <v>0.24</v>
      </c>
      <c r="U45" s="144">
        <v>0</v>
      </c>
      <c r="V45" s="144">
        <v>2.8</v>
      </c>
      <c r="W45" s="144">
        <v>34</v>
      </c>
      <c r="X45" s="144">
        <v>0.15</v>
      </c>
      <c r="Y45" s="144">
        <v>0</v>
      </c>
      <c r="Z45" s="117">
        <v>0</v>
      </c>
      <c r="AA45" s="144">
        <v>4</v>
      </c>
      <c r="AB45" s="117">
        <v>0.3</v>
      </c>
      <c r="AC45" s="144">
        <v>0.32</v>
      </c>
      <c r="AD45" s="144">
        <v>0.22</v>
      </c>
      <c r="AE45" s="117">
        <v>4.49</v>
      </c>
      <c r="AF45" s="144">
        <v>0.62</v>
      </c>
      <c r="AG45" s="117">
        <v>0.2</v>
      </c>
      <c r="AH45" s="117"/>
      <c r="AI45" s="144">
        <v>0.52</v>
      </c>
      <c r="AJ45" s="144">
        <v>70.8</v>
      </c>
      <c r="AK45" s="144">
        <v>2</v>
      </c>
      <c r="AL45" s="117">
        <v>78</v>
      </c>
      <c r="AM45" s="144">
        <v>0</v>
      </c>
      <c r="AN45" s="144">
        <v>0</v>
      </c>
      <c r="AO45" s="144">
        <v>0</v>
      </c>
      <c r="AP45" s="144">
        <v>0</v>
      </c>
      <c r="AQ45" s="117">
        <v>0</v>
      </c>
      <c r="AR45" s="117">
        <v>0</v>
      </c>
      <c r="AS45" s="117">
        <v>0</v>
      </c>
      <c r="AT45" s="117">
        <v>0</v>
      </c>
      <c r="AU45" s="117">
        <v>0</v>
      </c>
      <c r="AV45" s="144">
        <v>0</v>
      </c>
      <c r="AW45" s="144">
        <v>0</v>
      </c>
      <c r="AX45" s="144">
        <v>0</v>
      </c>
      <c r="AY45" s="117">
        <v>0</v>
      </c>
      <c r="AZ45" s="63">
        <v>0</v>
      </c>
      <c r="BA45" s="144">
        <v>0</v>
      </c>
      <c r="BB45" s="56">
        <v>0</v>
      </c>
      <c r="BC45" s="56">
        <v>0</v>
      </c>
      <c r="BD45" s="144">
        <v>0</v>
      </c>
      <c r="BE45" s="144">
        <v>0</v>
      </c>
      <c r="BF45" s="144">
        <v>12</v>
      </c>
      <c r="BG45" s="117">
        <v>13.1</v>
      </c>
      <c r="BH45" s="44" t="str">
        <f t="shared" si="0"/>
        <v>new food('n','REESE'S Peanut Butter Cups','Snack','2 cups','17','20.48','30.53','110.72','2.28','1030','94.24','3.6','1.21','62','322','682','357','1.28','0.24','0','2.8','34','0.15','0','0','4','0.3','0.32','0.22','4.49','0.62','0.2','0.52','70.8','2','78','0','0','0','0','0','0','0','0','0','0','0','0','0','0','0','0','0','0','0','12','13.1'),</v>
      </c>
    </row>
    <row r="46" spans="1:60" ht="15.6">
      <c r="A46" s="103">
        <v>169704</v>
      </c>
      <c r="B46" s="103" t="s">
        <v>362</v>
      </c>
      <c r="C46" s="90" t="s">
        <v>257</v>
      </c>
      <c r="D46" s="50" t="s">
        <v>279</v>
      </c>
      <c r="E46" s="91" t="s">
        <v>221</v>
      </c>
      <c r="F46" s="59">
        <v>202</v>
      </c>
      <c r="G46" s="117">
        <v>2.74</v>
      </c>
      <c r="H46" s="144">
        <v>0.97</v>
      </c>
      <c r="I46" s="117">
        <v>25.58</v>
      </c>
      <c r="J46" s="117">
        <v>0.44</v>
      </c>
      <c r="K46" s="59">
        <v>123</v>
      </c>
      <c r="L46" s="117">
        <v>0.24</v>
      </c>
      <c r="M46" s="59">
        <v>1</v>
      </c>
      <c r="N46" s="144">
        <v>0.56000000000000005</v>
      </c>
      <c r="O46" s="144">
        <v>39</v>
      </c>
      <c r="P46" s="117">
        <v>103</v>
      </c>
      <c r="Q46" s="117">
        <v>86</v>
      </c>
      <c r="R46" s="117">
        <v>4</v>
      </c>
      <c r="S46" s="117">
        <v>0.71</v>
      </c>
      <c r="T46" s="59">
        <v>0.106</v>
      </c>
      <c r="U46" s="117">
        <v>0.97399999999999998</v>
      </c>
      <c r="V46" s="117">
        <v>5.8</v>
      </c>
      <c r="W46" s="117">
        <v>0</v>
      </c>
      <c r="X46" s="117">
        <v>0.17</v>
      </c>
      <c r="Y46" s="117">
        <v>0</v>
      </c>
      <c r="Z46" s="59">
        <v>0</v>
      </c>
      <c r="AA46" s="117">
        <v>0</v>
      </c>
      <c r="AB46" s="117">
        <v>0</v>
      </c>
      <c r="AC46" s="117">
        <v>0.17799999999999999</v>
      </c>
      <c r="AD46" s="144">
        <v>6.9000000000000006E-2</v>
      </c>
      <c r="AE46" s="117">
        <v>2.5609999999999999</v>
      </c>
      <c r="AF46" s="144">
        <v>0.38</v>
      </c>
      <c r="AG46" s="117">
        <v>0.123</v>
      </c>
      <c r="AH46" s="117"/>
      <c r="AI46" s="144">
        <v>0</v>
      </c>
      <c r="AJ46" s="59">
        <v>9.1999999999999993</v>
      </c>
      <c r="AK46" s="144">
        <v>0.2</v>
      </c>
      <c r="AL46" s="117">
        <v>3</v>
      </c>
      <c r="AM46" s="59">
        <v>9</v>
      </c>
      <c r="AN46" s="144">
        <v>0.5</v>
      </c>
      <c r="AO46" s="144">
        <v>3.3000000000000002E-2</v>
      </c>
      <c r="AP46" s="144">
        <v>9.5000000000000001E-2</v>
      </c>
      <c r="AQ46" s="117">
        <v>0.109</v>
      </c>
      <c r="AR46" s="144">
        <v>0.214</v>
      </c>
      <c r="AS46" s="144">
        <v>9.9000000000000005E-2</v>
      </c>
      <c r="AT46" s="144">
        <v>5.8000000000000003E-2</v>
      </c>
      <c r="AU46" s="59">
        <v>3.1E-2</v>
      </c>
      <c r="AV46" s="144">
        <v>0.13300000000000001</v>
      </c>
      <c r="AW46" s="144">
        <v>9.7000000000000003E-2</v>
      </c>
      <c r="AX46" s="144">
        <v>0.214</v>
      </c>
      <c r="AY46" s="59">
        <v>0.19600000000000001</v>
      </c>
      <c r="AZ46" s="59">
        <v>0.151</v>
      </c>
      <c r="BA46" s="59">
        <v>0.24199999999999999</v>
      </c>
      <c r="BB46" s="59">
        <v>0.52600000000000002</v>
      </c>
      <c r="BC46" s="59">
        <v>0.127</v>
      </c>
      <c r="BD46" s="144">
        <v>0.127</v>
      </c>
      <c r="BE46" s="144">
        <v>0.13400000000000001</v>
      </c>
      <c r="BF46" s="59">
        <v>0</v>
      </c>
      <c r="BG46" s="59">
        <v>0.36899999999999999</v>
      </c>
      <c r="BH46" s="44" t="str">
        <f t="shared" si="0"/>
        <v>new food('n','Rice brown long grain','Grain','1 cup','202','2.74','0.97','25.58','0.44','123','0.24','1','0.56','39','103','86','4','0.71','0.106','0.974','5.8','0','0.17','0','0','0','0','0.178','0.069','2.561','0.38','0.123','0','9.2','0.2','3','9','0.5','0.033','0.095','0.109','0.214','0.099','0.058','0.031','0.133','0.097','0.214','0.196','0.151','0.242','0.526','0.127','0.127','0.134','0','0.369'),</v>
      </c>
    </row>
    <row r="47" spans="1:60" ht="15.6">
      <c r="A47" s="103">
        <v>168878</v>
      </c>
      <c r="B47" s="103" t="s">
        <v>362</v>
      </c>
      <c r="C47" s="90" t="s">
        <v>256</v>
      </c>
      <c r="D47" s="50" t="s">
        <v>279</v>
      </c>
      <c r="E47" s="91" t="s">
        <v>221</v>
      </c>
      <c r="F47" s="141">
        <v>158</v>
      </c>
      <c r="G47" s="117">
        <v>2.69</v>
      </c>
      <c r="H47" s="144">
        <v>0.28000000000000003</v>
      </c>
      <c r="I47" s="117">
        <v>28.17</v>
      </c>
      <c r="J47" s="117">
        <v>0.41</v>
      </c>
      <c r="K47" s="144">
        <v>0</v>
      </c>
      <c r="L47" s="144">
        <v>0.02</v>
      </c>
      <c r="M47" s="144">
        <v>0.4</v>
      </c>
      <c r="N47" s="144">
        <v>1.2</v>
      </c>
      <c r="O47" s="144">
        <v>12</v>
      </c>
      <c r="P47" s="144">
        <v>43</v>
      </c>
      <c r="Q47" s="144">
        <v>35</v>
      </c>
      <c r="R47" s="144">
        <v>1</v>
      </c>
      <c r="S47" s="144">
        <v>0.49</v>
      </c>
      <c r="T47" s="144">
        <v>6.9000000000000006E-2</v>
      </c>
      <c r="U47" s="117">
        <v>0.47199999999999998</v>
      </c>
      <c r="V47" s="117">
        <v>7.5</v>
      </c>
      <c r="W47" s="144">
        <v>0</v>
      </c>
      <c r="X47" s="117">
        <v>4.0000000000000001E-3</v>
      </c>
      <c r="Y47" s="144">
        <v>0</v>
      </c>
      <c r="Z47" s="144">
        <v>0</v>
      </c>
      <c r="AA47" s="144">
        <v>0</v>
      </c>
      <c r="AB47" s="144">
        <v>0</v>
      </c>
      <c r="AC47" s="144">
        <v>0.16300000000000001</v>
      </c>
      <c r="AD47" s="144">
        <v>1.2999999999999999E-2</v>
      </c>
      <c r="AE47" s="144">
        <v>1.476</v>
      </c>
      <c r="AF47" s="144">
        <v>0.39</v>
      </c>
      <c r="AG47" s="144">
        <v>9.2999999999999999E-2</v>
      </c>
      <c r="AH47" s="144"/>
      <c r="AI47" s="144">
        <v>0</v>
      </c>
      <c r="AJ47" s="144">
        <v>2.1</v>
      </c>
      <c r="AK47" s="144">
        <v>0</v>
      </c>
      <c r="AL47" s="117">
        <v>10</v>
      </c>
      <c r="AM47" s="144">
        <v>97</v>
      </c>
      <c r="AN47" s="144">
        <v>0.3</v>
      </c>
      <c r="AO47" s="144">
        <v>3.1E-2</v>
      </c>
      <c r="AP47" s="144">
        <v>9.6000000000000002E-2</v>
      </c>
      <c r="AQ47" s="117">
        <v>0.11600000000000001</v>
      </c>
      <c r="AR47" s="144">
        <v>0.222</v>
      </c>
      <c r="AS47" s="144">
        <v>9.7000000000000003E-2</v>
      </c>
      <c r="AT47" s="144">
        <v>6.3E-2</v>
      </c>
      <c r="AU47" s="144">
        <v>5.5E-2</v>
      </c>
      <c r="AV47" s="144">
        <v>0.14399999999999999</v>
      </c>
      <c r="AW47" s="144">
        <v>0.09</v>
      </c>
      <c r="AX47" s="144">
        <v>0.16400000000000001</v>
      </c>
      <c r="AY47" s="117">
        <v>0.224</v>
      </c>
      <c r="AZ47" s="141">
        <v>0.156</v>
      </c>
      <c r="BA47" s="59">
        <v>0.253</v>
      </c>
      <c r="BB47" s="144">
        <v>0.52400000000000002</v>
      </c>
      <c r="BC47" s="144">
        <v>0.122</v>
      </c>
      <c r="BD47" s="144">
        <v>0.127</v>
      </c>
      <c r="BE47" s="144">
        <v>0.14099999999999999</v>
      </c>
      <c r="BF47" s="144">
        <v>0</v>
      </c>
      <c r="BG47" s="144">
        <v>8.7999999999999995E-2</v>
      </c>
      <c r="BH47" s="44" t="str">
        <f t="shared" si="0"/>
        <v>new food('n','Rice white long grain','Grain','1 cup','158','2.69','0.28','28.17','0.41','0','0.02','0.4','1.2','12','43','35','1','0.49','0.069','0.472','7.5','0','0.004','0','0','0','0','0.163','0.013','1.476','0.39','0.093','0','2.1','0','10','97','0.3','0.031','0.096','0.116','0.222','0.097','0.063','0.055','0.144','0.09','0.164','0.224','0.156','0.253','0.524','0.122','0.127','0.141','0','0.088'),</v>
      </c>
    </row>
    <row r="48" spans="1:60" ht="15.75" customHeight="1">
      <c r="A48" s="103">
        <v>168897</v>
      </c>
      <c r="B48" s="103" t="s">
        <v>362</v>
      </c>
      <c r="C48" s="90" t="s">
        <v>89</v>
      </c>
      <c r="D48" s="50" t="s">
        <v>279</v>
      </c>
      <c r="E48" s="91" t="s">
        <v>221</v>
      </c>
      <c r="F48" s="59">
        <v>164</v>
      </c>
      <c r="G48" s="117">
        <v>3.99</v>
      </c>
      <c r="H48" s="144">
        <v>0.34</v>
      </c>
      <c r="I48" s="117">
        <v>21.34</v>
      </c>
      <c r="J48" s="117">
        <v>0.4</v>
      </c>
      <c r="K48" s="59">
        <v>101</v>
      </c>
      <c r="L48" s="144">
        <v>0.73</v>
      </c>
      <c r="M48" s="59">
        <v>1.8</v>
      </c>
      <c r="N48" s="117">
        <v>0.06</v>
      </c>
      <c r="O48" s="117">
        <v>32</v>
      </c>
      <c r="P48" s="117">
        <v>82</v>
      </c>
      <c r="Q48" s="117">
        <v>101</v>
      </c>
      <c r="R48" s="117">
        <v>3</v>
      </c>
      <c r="S48" s="117">
        <v>1.34</v>
      </c>
      <c r="T48" s="59">
        <v>0.121</v>
      </c>
      <c r="U48" s="117">
        <v>0.28199999999999997</v>
      </c>
      <c r="V48" s="117">
        <v>0.8</v>
      </c>
      <c r="W48" s="117">
        <v>0</v>
      </c>
      <c r="X48" s="117">
        <v>0.24</v>
      </c>
      <c r="Y48" s="144">
        <v>0</v>
      </c>
      <c r="Z48" s="59">
        <v>0</v>
      </c>
      <c r="AA48" s="117">
        <v>0.38400000000000001</v>
      </c>
      <c r="AB48" s="144">
        <v>0</v>
      </c>
      <c r="AC48" s="117">
        <v>5.1999999999999998E-2</v>
      </c>
      <c r="AD48" s="117">
        <v>8.6999999999999994E-2</v>
      </c>
      <c r="AE48" s="144">
        <v>1.2869999999999999</v>
      </c>
      <c r="AF48" s="117">
        <v>0.154</v>
      </c>
      <c r="AG48" s="144">
        <v>0.13500000000000001</v>
      </c>
      <c r="AH48" s="144"/>
      <c r="AI48" s="117">
        <v>0</v>
      </c>
      <c r="AJ48" s="59">
        <v>0</v>
      </c>
      <c r="AK48" s="117">
        <v>0.5</v>
      </c>
      <c r="AL48" s="117">
        <v>26</v>
      </c>
      <c r="AM48" s="59">
        <v>26</v>
      </c>
      <c r="AN48" s="117">
        <v>0</v>
      </c>
      <c r="AO48" s="117">
        <v>4.9000000000000002E-2</v>
      </c>
      <c r="AP48" s="117">
        <v>0.127</v>
      </c>
      <c r="AQ48" s="59">
        <v>0.16700000000000001</v>
      </c>
      <c r="AR48" s="59">
        <v>0.27600000000000002</v>
      </c>
      <c r="AS48" s="117">
        <v>0.17</v>
      </c>
      <c r="AT48" s="117">
        <v>0.11899999999999999</v>
      </c>
      <c r="AU48" s="59">
        <v>4.7E-2</v>
      </c>
      <c r="AV48" s="117">
        <v>0.19500000000000001</v>
      </c>
      <c r="AW48" s="117">
        <v>0.16900000000000001</v>
      </c>
      <c r="AX48" s="117">
        <v>0.23200000000000001</v>
      </c>
      <c r="AY48" s="117">
        <v>0.308</v>
      </c>
      <c r="AZ48" s="141">
        <v>0.223</v>
      </c>
      <c r="BA48" s="59">
        <v>0.38400000000000001</v>
      </c>
      <c r="BB48" s="59">
        <v>0.69499999999999995</v>
      </c>
      <c r="BC48" s="59">
        <v>0.182</v>
      </c>
      <c r="BD48" s="144">
        <v>0.14000000000000001</v>
      </c>
      <c r="BE48" s="144">
        <v>0.214</v>
      </c>
      <c r="BF48" s="59">
        <v>0</v>
      </c>
      <c r="BG48" s="59">
        <v>0.05</v>
      </c>
      <c r="BH48" s="44" t="str">
        <f t="shared" si="0"/>
        <v>new food('n','Rice wild cooked','Grain','1 cup','164','3.99','0.34','21.34','0.4','101','0.73','1.8','0.06','32','82','101','3','1.34','0.121','0.282','0.8','0','0.24','0','0','0.384','0','0.052','0.087','1.287','0.154','0.135','0','0','0.5','26','26','0','0.049','0.127','0.167','0.276','0.17','0.119','0.047','0.195','0.169','0.232','0.308','0.223','0.384','0.695','0.182','0.14','0.214','0','0.05'),</v>
      </c>
    </row>
    <row r="49" spans="1:71" s="62" customFormat="1" ht="15.6">
      <c r="A49" s="116">
        <v>5</v>
      </c>
      <c r="B49" s="133" t="s">
        <v>362</v>
      </c>
      <c r="C49" s="116" t="s">
        <v>365</v>
      </c>
      <c r="D49" s="50" t="s">
        <v>88</v>
      </c>
      <c r="E49" s="58" t="s">
        <v>320</v>
      </c>
      <c r="F49" s="117"/>
      <c r="G49" s="117">
        <v>18.87</v>
      </c>
      <c r="H49" s="117">
        <v>11.62</v>
      </c>
      <c r="I49" s="117">
        <v>11.1</v>
      </c>
      <c r="J49" s="117">
        <v>1.08</v>
      </c>
      <c r="K49" s="117">
        <v>224</v>
      </c>
      <c r="L49" s="117">
        <v>3.23</v>
      </c>
      <c r="M49" s="117">
        <v>7.1</v>
      </c>
      <c r="N49" s="117">
        <v>5.97</v>
      </c>
      <c r="O49" s="117">
        <v>187</v>
      </c>
      <c r="P49" s="117">
        <v>282</v>
      </c>
      <c r="Q49" s="117">
        <v>1723</v>
      </c>
      <c r="R49" s="117">
        <v>469</v>
      </c>
      <c r="S49" s="117">
        <v>2.13</v>
      </c>
      <c r="T49" s="117">
        <v>0.33</v>
      </c>
      <c r="U49" s="117">
        <v>0.03</v>
      </c>
      <c r="V49" s="117">
        <v>32.1</v>
      </c>
      <c r="W49" s="117">
        <v>148</v>
      </c>
      <c r="X49" s="117">
        <v>4.7</v>
      </c>
      <c r="Y49" s="117">
        <v>87</v>
      </c>
      <c r="Z49" s="117">
        <v>10</v>
      </c>
      <c r="AA49" s="149">
        <v>10186</v>
      </c>
      <c r="AB49" s="117">
        <v>61.1</v>
      </c>
      <c r="AC49" s="117">
        <v>0.32</v>
      </c>
      <c r="AD49" s="117">
        <v>1</v>
      </c>
      <c r="AE49" s="117">
        <v>1.3</v>
      </c>
      <c r="AF49" s="117">
        <v>1.4</v>
      </c>
      <c r="AG49" s="117">
        <v>0.5</v>
      </c>
      <c r="AH49" s="117"/>
      <c r="AI49" s="117">
        <v>1.1299999999999999</v>
      </c>
      <c r="AJ49" s="117">
        <v>323.39999999999998</v>
      </c>
      <c r="AK49" s="117">
        <v>985.2</v>
      </c>
      <c r="AL49" s="117">
        <v>231</v>
      </c>
      <c r="AM49" s="117">
        <v>225</v>
      </c>
      <c r="AN49" s="117">
        <v>0.06</v>
      </c>
      <c r="AO49" s="117">
        <v>0.15</v>
      </c>
      <c r="AP49" s="117">
        <v>0</v>
      </c>
      <c r="AQ49" s="117">
        <v>0.69</v>
      </c>
      <c r="AR49" s="117">
        <v>1.08</v>
      </c>
      <c r="AS49" s="117">
        <v>0.9</v>
      </c>
      <c r="AT49" s="117">
        <v>0.39</v>
      </c>
      <c r="AU49" s="117">
        <v>0.28999999999999998</v>
      </c>
      <c r="AV49" s="117">
        <v>0.67</v>
      </c>
      <c r="AW49" s="117">
        <v>0.51</v>
      </c>
      <c r="AX49" s="117">
        <v>0.77</v>
      </c>
      <c r="AY49" s="117">
        <v>0.76</v>
      </c>
      <c r="AZ49" s="117">
        <v>7.0000000000000007E-2</v>
      </c>
      <c r="BA49" s="117">
        <v>1.26</v>
      </c>
      <c r="BB49" s="117">
        <v>1.04</v>
      </c>
      <c r="BC49" s="117">
        <v>0.42</v>
      </c>
      <c r="BD49" s="117">
        <v>0.5</v>
      </c>
      <c r="BE49" s="117">
        <v>0.94</v>
      </c>
      <c r="BF49" s="117">
        <v>373</v>
      </c>
      <c r="BG49" s="117">
        <v>4.12</v>
      </c>
      <c r="BH49" s="44" t="str">
        <f t="shared" si="0"/>
        <v>new food('n','Lettuce salad','Veg','1 serving','','18.87','11.62','11.1','1.08','224','3.23','7.1','5.97','187','282','1723','469','2.13','0.33','0.03','32.1','148','4.7','87','10','10186','61.1','0.32','1','1.3','1.4','0.5','1.13','323.4','985.2','231','225','0.06','0.15','0','0.69','1.08','0.9','0.39','0.29','0.67','0.51','0.77','0.76','0.07','1.26','1.04','0.42','0.5','0.94','373','4.12'),</v>
      </c>
      <c r="BI49" s="116"/>
      <c r="BJ49" s="116"/>
      <c r="BK49" s="116"/>
      <c r="BL49" s="116"/>
      <c r="BM49" s="116"/>
      <c r="BN49" s="116"/>
      <c r="BO49" s="116"/>
      <c r="BP49" s="116"/>
      <c r="BQ49" s="116"/>
      <c r="BR49" s="116"/>
    </row>
    <row r="50" spans="1:71" ht="15.75" customHeight="1">
      <c r="A50" s="98">
        <v>169589</v>
      </c>
      <c r="B50" s="132" t="s">
        <v>362</v>
      </c>
      <c r="C50" s="44" t="s">
        <v>249</v>
      </c>
      <c r="D50" s="50" t="s">
        <v>285</v>
      </c>
      <c r="E50" s="60" t="s">
        <v>264</v>
      </c>
      <c r="F50" s="63"/>
      <c r="G50" s="141">
        <v>7.53</v>
      </c>
      <c r="H50" s="142">
        <v>23.85</v>
      </c>
      <c r="I50" s="141">
        <v>61.51</v>
      </c>
      <c r="J50" s="141">
        <v>0</v>
      </c>
      <c r="K50" s="142">
        <v>491</v>
      </c>
      <c r="L50" s="142">
        <v>50.47</v>
      </c>
      <c r="M50" s="141">
        <v>2.2999999999999998</v>
      </c>
      <c r="N50" s="141">
        <v>0.72</v>
      </c>
      <c r="O50" s="141">
        <v>72</v>
      </c>
      <c r="P50" s="142">
        <v>190</v>
      </c>
      <c r="Q50" s="142">
        <v>323</v>
      </c>
      <c r="R50" s="142">
        <v>239</v>
      </c>
      <c r="S50" s="142">
        <v>2.5</v>
      </c>
      <c r="T50" s="142">
        <v>0.27</v>
      </c>
      <c r="U50" s="142">
        <v>0</v>
      </c>
      <c r="V50" s="142">
        <v>7.8</v>
      </c>
      <c r="W50" s="142">
        <v>45</v>
      </c>
      <c r="X50" s="142">
        <v>1.5</v>
      </c>
      <c r="Y50" s="142">
        <v>0</v>
      </c>
      <c r="Z50" s="142">
        <v>0</v>
      </c>
      <c r="AA50" s="142">
        <v>16</v>
      </c>
      <c r="AB50" s="142">
        <v>0.5</v>
      </c>
      <c r="AC50" s="142">
        <v>0.06</v>
      </c>
      <c r="AD50" s="142">
        <v>0.13</v>
      </c>
      <c r="AE50" s="142">
        <v>3.6</v>
      </c>
      <c r="AF50" s="142">
        <v>0</v>
      </c>
      <c r="AG50" s="142">
        <v>0.09</v>
      </c>
      <c r="AH50" s="142"/>
      <c r="AI50" s="141">
        <v>0.16</v>
      </c>
      <c r="AJ50" s="141">
        <v>38.5</v>
      </c>
      <c r="AK50" s="141">
        <v>1.9</v>
      </c>
      <c r="AL50" s="142">
        <v>21</v>
      </c>
      <c r="AM50" s="141">
        <v>31</v>
      </c>
      <c r="AN50" s="141">
        <v>0</v>
      </c>
      <c r="AO50" s="141">
        <v>0</v>
      </c>
      <c r="AP50" s="142">
        <v>0</v>
      </c>
      <c r="AQ50" s="142">
        <v>0</v>
      </c>
      <c r="AR50" s="142">
        <v>0</v>
      </c>
      <c r="AS50" s="142">
        <v>0</v>
      </c>
      <c r="AT50" s="142">
        <v>0</v>
      </c>
      <c r="AU50" s="142">
        <v>0</v>
      </c>
      <c r="AV50" s="142">
        <v>0</v>
      </c>
      <c r="AW50" s="142">
        <v>0</v>
      </c>
      <c r="AX50" s="142">
        <v>0</v>
      </c>
      <c r="AY50" s="142">
        <v>0</v>
      </c>
      <c r="AZ50" s="142">
        <v>0</v>
      </c>
      <c r="BA50" s="142">
        <v>0</v>
      </c>
      <c r="BB50" s="142">
        <v>0</v>
      </c>
      <c r="BC50" s="142">
        <v>0</v>
      </c>
      <c r="BD50" s="142">
        <v>0</v>
      </c>
      <c r="BE50" s="142">
        <v>0</v>
      </c>
      <c r="BF50" s="141">
        <v>13</v>
      </c>
      <c r="BG50" s="142">
        <v>7.875</v>
      </c>
      <c r="BH50" s="44" t="str">
        <f t="shared" si="0"/>
        <v>new food('n','Snickers Candy Bar','Snack','1 bar','','7.53','23.85','61.51','0','491','50.47','2.3','0.72','72','190','323','239','2.5','0.27','0','7.8','45','1.5','0','0','16','0.5','0.06','0.13','3.6','0','0.09','0.16','38.5','1.9','21','31','0','0','0','0','0','0','0','0','0','0','0','0','0','0','0','0','0','0','13','7.875'),</v>
      </c>
    </row>
    <row r="51" spans="1:71" ht="15.75" customHeight="1">
      <c r="A51" s="98">
        <v>2346409</v>
      </c>
      <c r="B51" s="132" t="s">
        <v>362</v>
      </c>
      <c r="C51" s="44" t="s">
        <v>308</v>
      </c>
      <c r="D51" s="50" t="s">
        <v>87</v>
      </c>
      <c r="E51" s="58"/>
      <c r="F51" s="63">
        <v>100</v>
      </c>
      <c r="G51" s="141">
        <v>0.64</v>
      </c>
      <c r="H51" s="142">
        <v>0.22</v>
      </c>
      <c r="I51" s="142">
        <v>7.63</v>
      </c>
      <c r="J51" s="142">
        <v>0</v>
      </c>
      <c r="K51" s="142">
        <v>35</v>
      </c>
      <c r="L51" s="142">
        <v>5.34</v>
      </c>
      <c r="M51" s="142">
        <v>1.8</v>
      </c>
      <c r="N51" s="142">
        <v>0.28000000000000003</v>
      </c>
      <c r="O51" s="142">
        <v>12</v>
      </c>
      <c r="P51" s="142">
        <v>20</v>
      </c>
      <c r="Q51" s="142">
        <v>89</v>
      </c>
      <c r="R51" s="142">
        <v>10</v>
      </c>
      <c r="S51" s="142">
        <v>0.18</v>
      </c>
      <c r="T51" s="142">
        <v>0.11899999999999999</v>
      </c>
      <c r="U51" s="142">
        <v>0</v>
      </c>
      <c r="V51" s="142">
        <v>0.4</v>
      </c>
      <c r="W51" s="142">
        <v>0</v>
      </c>
      <c r="X51" s="142">
        <v>0.28999999999999998</v>
      </c>
      <c r="Y51" s="142">
        <v>0</v>
      </c>
      <c r="Z51" s="142">
        <v>0</v>
      </c>
      <c r="AA51" s="142">
        <v>22</v>
      </c>
      <c r="AB51" s="142">
        <v>56</v>
      </c>
      <c r="AC51" s="142">
        <v>2.5000000000000001E-2</v>
      </c>
      <c r="AD51" s="142">
        <v>1.6E-2</v>
      </c>
      <c r="AE51" s="142">
        <v>0.38600000000000001</v>
      </c>
      <c r="AF51" s="142">
        <v>0</v>
      </c>
      <c r="AG51" s="142">
        <v>3.5000000000000003E-2</v>
      </c>
      <c r="AH51" s="142"/>
      <c r="AI51" s="142">
        <v>0</v>
      </c>
      <c r="AJ51" s="142">
        <v>5.7</v>
      </c>
      <c r="AK51" s="142">
        <v>2.1</v>
      </c>
      <c r="AL51" s="142">
        <v>8</v>
      </c>
      <c r="AM51" s="142">
        <v>8</v>
      </c>
      <c r="AN51" s="142">
        <v>0</v>
      </c>
      <c r="AO51" s="142">
        <v>0</v>
      </c>
      <c r="AP51" s="142">
        <v>0</v>
      </c>
      <c r="AQ51" s="142">
        <v>0</v>
      </c>
      <c r="AR51" s="142">
        <v>0</v>
      </c>
      <c r="AS51" s="142">
        <v>0</v>
      </c>
      <c r="AT51" s="142">
        <v>0</v>
      </c>
      <c r="AU51" s="142">
        <v>0</v>
      </c>
      <c r="AV51" s="142">
        <v>0</v>
      </c>
      <c r="AW51" s="142">
        <v>0</v>
      </c>
      <c r="AX51" s="142">
        <v>0</v>
      </c>
      <c r="AY51" s="142">
        <v>0</v>
      </c>
      <c r="AZ51" s="142">
        <v>0</v>
      </c>
      <c r="BA51" s="142">
        <v>0</v>
      </c>
      <c r="BB51" s="142">
        <v>0</v>
      </c>
      <c r="BC51" s="142">
        <v>0</v>
      </c>
      <c r="BD51" s="142">
        <v>0</v>
      </c>
      <c r="BE51" s="142">
        <v>0</v>
      </c>
      <c r="BF51" s="142">
        <v>0</v>
      </c>
      <c r="BG51" s="142">
        <v>0</v>
      </c>
      <c r="BH51" s="44" t="str">
        <f t="shared" si="0"/>
        <v>new food('n','Strawberries','Fruit','','100','0.64','0.22','7.63','0','35','5.34','1.8','0.28','12','20','89','10','0.18','0.119','0','0.4','0','0.29','0','0','22','56','0.025','0.016','0.386','0','0.035','0','5.7','2.1','8','8','0','0','0','0','0','0','0','0','0','0','0','0','0','0','0','0','0','0','0','0'),</v>
      </c>
    </row>
    <row r="52" spans="1:71" ht="15.75" customHeight="1">
      <c r="A52" s="98">
        <v>6</v>
      </c>
      <c r="B52" s="132">
        <v>2</v>
      </c>
      <c r="C52" s="44" t="s">
        <v>330</v>
      </c>
      <c r="D52" s="50" t="s">
        <v>207</v>
      </c>
      <c r="E52" s="58" t="s">
        <v>331</v>
      </c>
      <c r="F52" s="117">
        <v>275.88</v>
      </c>
      <c r="G52" s="141">
        <v>30.2</v>
      </c>
      <c r="H52" s="142">
        <v>57.87</v>
      </c>
      <c r="I52" s="142">
        <v>27.59</v>
      </c>
      <c r="J52" s="142">
        <v>3.86</v>
      </c>
      <c r="K52" s="142">
        <v>744.61</v>
      </c>
      <c r="L52" s="142">
        <v>7.11</v>
      </c>
      <c r="M52" s="142">
        <v>3.6</v>
      </c>
      <c r="N52" s="142">
        <v>1.76</v>
      </c>
      <c r="O52" s="142">
        <v>48.55</v>
      </c>
      <c r="P52" s="142">
        <v>556.08000000000004</v>
      </c>
      <c r="Q52" s="142">
        <v>521</v>
      </c>
      <c r="R52" s="142">
        <v>792.88</v>
      </c>
      <c r="S52" s="142">
        <v>3.86</v>
      </c>
      <c r="T52" s="142">
        <v>0.1</v>
      </c>
      <c r="U52" s="142">
        <v>0.05</v>
      </c>
      <c r="V52" s="142">
        <v>20.399999999999999</v>
      </c>
      <c r="W52" s="142">
        <v>292.17</v>
      </c>
      <c r="X52" s="142">
        <v>1.22</v>
      </c>
      <c r="Y52" s="142">
        <v>21</v>
      </c>
      <c r="Z52" s="142">
        <v>7.56</v>
      </c>
      <c r="AA52" s="142">
        <v>371.61</v>
      </c>
      <c r="AB52" s="142">
        <v>15.64</v>
      </c>
      <c r="AC52" s="142">
        <v>0.11</v>
      </c>
      <c r="AD52" s="142">
        <v>0.55000000000000004</v>
      </c>
      <c r="AE52" s="142">
        <v>0.86</v>
      </c>
      <c r="AF52" s="142">
        <v>0.27</v>
      </c>
      <c r="AG52" s="142">
        <v>0.21</v>
      </c>
      <c r="AH52" s="142"/>
      <c r="AI52" s="142">
        <v>1.53</v>
      </c>
      <c r="AJ52" s="142">
        <v>48.31</v>
      </c>
      <c r="AK52" s="142">
        <v>31.76</v>
      </c>
      <c r="AL52" s="142">
        <v>725.13</v>
      </c>
      <c r="AM52" s="142">
        <v>58.58</v>
      </c>
      <c r="AN52" s="142">
        <v>0.23</v>
      </c>
      <c r="AO52" s="142">
        <v>0.36</v>
      </c>
      <c r="AP52" s="142">
        <v>0.87</v>
      </c>
      <c r="AQ52" s="142">
        <v>1.36</v>
      </c>
      <c r="AR52" s="142">
        <v>2.17</v>
      </c>
      <c r="AS52" s="142">
        <v>1.66</v>
      </c>
      <c r="AT52" s="142">
        <v>0.6</v>
      </c>
      <c r="AU52" s="142">
        <v>0.12</v>
      </c>
      <c r="AV52" s="142">
        <v>1.2</v>
      </c>
      <c r="AW52" s="142">
        <v>1.1299999999999999</v>
      </c>
      <c r="AX52" s="142">
        <v>1.51</v>
      </c>
      <c r="AY52" s="142">
        <v>0.79</v>
      </c>
      <c r="AZ52" s="142">
        <v>0.05</v>
      </c>
      <c r="BA52" s="142">
        <v>1.61</v>
      </c>
      <c r="BB52" s="142">
        <v>5.42</v>
      </c>
      <c r="BC52" s="142">
        <v>0.41</v>
      </c>
      <c r="BD52" s="142">
        <v>2.58</v>
      </c>
      <c r="BE52" s="142">
        <v>1.2</v>
      </c>
      <c r="BF52" s="142">
        <v>157.83000000000001</v>
      </c>
      <c r="BG52" s="142">
        <v>12.8</v>
      </c>
      <c r="BH52" s="44" t="str">
        <f t="shared" si="0"/>
        <v>new food('2','Tacos','Entre','2 tacos','275.88','30.2','57.87','27.59','3.86','744.61','7.11','3.6','1.76','48.55','556.08','521','792.88','3.86','0.1','0.05','20.4','292.17','1.22','21','7.56','371.61','15.64','0.11','0.55','0.86','0.27','0.21','1.53','48.31','31.76','725.13','58.58','0.23','0.36','0.87','1.36','2.17','1.66','0.6','0.12','1.2','1.13','1.51','0.79','0.05','1.61','5.42','0.41','2.58','1.2','157.83','12.8'),</v>
      </c>
    </row>
    <row r="53" spans="1:71" ht="15.75" customHeight="1">
      <c r="A53" s="98">
        <v>2</v>
      </c>
      <c r="B53" s="132">
        <v>2</v>
      </c>
      <c r="C53" s="44" t="s">
        <v>272</v>
      </c>
      <c r="D53" s="50" t="s">
        <v>207</v>
      </c>
      <c r="E53" s="58" t="s">
        <v>273</v>
      </c>
      <c r="F53" s="117"/>
      <c r="G53" s="150">
        <v>10.28</v>
      </c>
      <c r="H53" s="150">
        <v>8.0299999999999994</v>
      </c>
      <c r="I53" s="150">
        <v>14.96</v>
      </c>
      <c r="J53" s="150">
        <v>0</v>
      </c>
      <c r="K53" s="150">
        <v>169.75</v>
      </c>
      <c r="L53" s="150">
        <v>93.63</v>
      </c>
      <c r="M53" s="150">
        <v>1.58</v>
      </c>
      <c r="N53" s="150">
        <v>0.81</v>
      </c>
      <c r="O53" s="150">
        <v>27.88</v>
      </c>
      <c r="P53" s="150">
        <v>114.38</v>
      </c>
      <c r="Q53" s="150">
        <v>264.42</v>
      </c>
      <c r="R53" s="150">
        <v>215.88</v>
      </c>
      <c r="S53" s="150">
        <v>0.96</v>
      </c>
      <c r="T53" s="150">
        <v>0.06</v>
      </c>
      <c r="U53" s="150">
        <v>0</v>
      </c>
      <c r="V53" s="150">
        <v>8.3000000000000007</v>
      </c>
      <c r="W53" s="150">
        <v>54.33</v>
      </c>
      <c r="X53" s="150">
        <v>1.21</v>
      </c>
      <c r="Y53" s="150">
        <v>0</v>
      </c>
      <c r="Z53" s="150">
        <v>47.17</v>
      </c>
      <c r="AA53" s="150">
        <v>506.17</v>
      </c>
      <c r="AB53" s="150">
        <v>11.21</v>
      </c>
      <c r="AC53" s="150">
        <v>0.11</v>
      </c>
      <c r="AD53" s="150">
        <v>0.19</v>
      </c>
      <c r="AE53" s="150">
        <v>2.3199999999999998</v>
      </c>
      <c r="AF53" s="150">
        <v>0</v>
      </c>
      <c r="AG53" s="150">
        <v>0.14000000000000001</v>
      </c>
      <c r="AH53" s="150"/>
      <c r="AI53" s="150">
        <v>0.37</v>
      </c>
      <c r="AJ53" s="150">
        <v>30.79</v>
      </c>
      <c r="AK53" s="150">
        <v>35.619999999999997</v>
      </c>
      <c r="AL53" s="150">
        <v>24.125</v>
      </c>
      <c r="AM53" s="150">
        <v>33.46</v>
      </c>
      <c r="AN53" s="150">
        <v>0</v>
      </c>
      <c r="AO53" s="150">
        <v>0</v>
      </c>
      <c r="AP53" s="150">
        <v>0</v>
      </c>
      <c r="AQ53" s="150">
        <v>0</v>
      </c>
      <c r="AR53" s="150">
        <v>0</v>
      </c>
      <c r="AS53" s="150">
        <v>0</v>
      </c>
      <c r="AT53" s="150">
        <v>0</v>
      </c>
      <c r="AU53" s="150">
        <v>0</v>
      </c>
      <c r="AV53" s="150">
        <v>0</v>
      </c>
      <c r="AW53" s="150">
        <v>0</v>
      </c>
      <c r="AX53" s="150">
        <v>0</v>
      </c>
      <c r="AY53" s="150">
        <v>0</v>
      </c>
      <c r="AZ53" s="150">
        <v>0</v>
      </c>
      <c r="BA53" s="150">
        <v>0</v>
      </c>
      <c r="BB53" s="150">
        <v>0</v>
      </c>
      <c r="BC53" s="150">
        <v>0</v>
      </c>
      <c r="BD53" s="150">
        <v>0</v>
      </c>
      <c r="BE53" s="150">
        <v>0</v>
      </c>
      <c r="BF53" s="150">
        <v>3.83</v>
      </c>
      <c r="BG53" s="150">
        <v>0.26</v>
      </c>
      <c r="BH53" s="44" t="str">
        <f t="shared" si="0"/>
        <v>new food('2','Tater Tot Hotdish','Entre','1serving','','10.28','8.03','14.96','0','169.75','93.63','1.58','0.81','27.88','114.38','264.42','215.88','0.96','0.06','0','8.3','54.33','1.21','0','47.17','506.17','11.21','0.11','0.19','2.32','0','0.14','0.37','30.79','35.62','24.125','33.46','0','0','0','0','0','0','0','0','0','0','0','0','0','0','0','0','0','0','3.83','0.26'),</v>
      </c>
      <c r="BI53">
        <v>2.7</v>
      </c>
      <c r="BJ53">
        <v>0.43</v>
      </c>
      <c r="BK53">
        <v>0.84</v>
      </c>
      <c r="BL53">
        <v>1.2</v>
      </c>
      <c r="BM53">
        <v>2</v>
      </c>
      <c r="BN53">
        <v>0.91</v>
      </c>
      <c r="BO53">
        <v>0.68</v>
      </c>
      <c r="BP53">
        <v>0.53</v>
      </c>
      <c r="BQ53">
        <v>0</v>
      </c>
      <c r="BR53">
        <v>46.17</v>
      </c>
      <c r="BS53">
        <v>3.96</v>
      </c>
    </row>
    <row r="54" spans="1:71" ht="15.75" customHeight="1">
      <c r="A54" s="98">
        <v>2210908</v>
      </c>
      <c r="B54" s="132" t="s">
        <v>362</v>
      </c>
      <c r="C54" s="44" t="s">
        <v>268</v>
      </c>
      <c r="D54" s="50" t="s">
        <v>279</v>
      </c>
      <c r="E54" s="60" t="s">
        <v>276</v>
      </c>
      <c r="F54" s="63">
        <v>86</v>
      </c>
      <c r="G54" s="141">
        <v>2.33</v>
      </c>
      <c r="H54" s="142">
        <v>9.3000000000000007</v>
      </c>
      <c r="I54" s="142">
        <v>16.28</v>
      </c>
      <c r="J54" s="142">
        <v>0</v>
      </c>
      <c r="K54" s="142">
        <v>151</v>
      </c>
      <c r="L54" s="142">
        <v>1.1599999999999999</v>
      </c>
      <c r="M54" s="142">
        <v>1.2</v>
      </c>
      <c r="N54" s="142">
        <v>0.7</v>
      </c>
      <c r="O54" s="142">
        <v>0</v>
      </c>
      <c r="P54" s="142">
        <v>0</v>
      </c>
      <c r="Q54" s="142">
        <v>372</v>
      </c>
      <c r="R54" s="142">
        <v>523</v>
      </c>
      <c r="S54" s="142">
        <v>0</v>
      </c>
      <c r="T54" s="142">
        <v>0</v>
      </c>
      <c r="U54" s="142">
        <v>0</v>
      </c>
      <c r="V54" s="142">
        <v>0</v>
      </c>
      <c r="W54" s="142">
        <v>0</v>
      </c>
      <c r="X54" s="142">
        <v>0</v>
      </c>
      <c r="Y54" s="142">
        <v>0</v>
      </c>
      <c r="Z54" s="142">
        <v>0</v>
      </c>
      <c r="AA54" s="142">
        <v>0</v>
      </c>
      <c r="AB54" s="142">
        <v>0</v>
      </c>
      <c r="AC54" s="142">
        <v>0</v>
      </c>
      <c r="AD54" s="142">
        <v>0</v>
      </c>
      <c r="AE54" s="142">
        <v>0</v>
      </c>
      <c r="AF54" s="142">
        <v>0</v>
      </c>
      <c r="AG54" s="142">
        <v>0</v>
      </c>
      <c r="AH54" s="142"/>
      <c r="AI54" s="142">
        <v>0</v>
      </c>
      <c r="AJ54" s="142">
        <v>0</v>
      </c>
      <c r="AK54" s="142">
        <v>0</v>
      </c>
      <c r="AL54" s="142">
        <v>0</v>
      </c>
      <c r="AM54" s="142">
        <v>0</v>
      </c>
      <c r="AN54" s="142">
        <v>0</v>
      </c>
      <c r="AO54" s="142">
        <v>0</v>
      </c>
      <c r="AP54" s="142">
        <v>0</v>
      </c>
      <c r="AQ54" s="142">
        <v>0</v>
      </c>
      <c r="AR54" s="142">
        <v>0</v>
      </c>
      <c r="AS54" s="142">
        <v>0</v>
      </c>
      <c r="AT54" s="142">
        <v>0</v>
      </c>
      <c r="AU54" s="142">
        <v>0</v>
      </c>
      <c r="AV54" s="142">
        <v>0</v>
      </c>
      <c r="AW54" s="142">
        <v>0</v>
      </c>
      <c r="AX54" s="142">
        <v>0</v>
      </c>
      <c r="AY54" s="142">
        <v>0</v>
      </c>
      <c r="AZ54" s="142">
        <v>0</v>
      </c>
      <c r="BA54" s="142">
        <v>0</v>
      </c>
      <c r="BB54" s="142">
        <v>0</v>
      </c>
      <c r="BC54" s="142">
        <v>0</v>
      </c>
      <c r="BD54" s="142">
        <v>0</v>
      </c>
      <c r="BE54" s="142">
        <v>0</v>
      </c>
      <c r="BF54" s="142">
        <v>0</v>
      </c>
      <c r="BG54" s="142">
        <v>0</v>
      </c>
      <c r="BH54" s="44" t="str">
        <f t="shared" si="0"/>
        <v>new food('n','Tater Tots','Grain','10 tots','86','2.33','9.3','16.28','0','151','1.16','1.2','0.7','0','0','372','523','0','0','0','0','0','0','0','0','0','0','0','0','0','0','0','0','0','0','0','0','0','0','0','0','0','0','0','0','0','0','0','0','0','0','0','0','0','0','0','0'),</v>
      </c>
    </row>
    <row r="55" spans="1:71" ht="15.75" customHeight="1">
      <c r="A55" s="98">
        <v>2710488</v>
      </c>
      <c r="B55" s="132" t="s">
        <v>362</v>
      </c>
      <c r="C55" s="62" t="s">
        <v>253</v>
      </c>
      <c r="D55" s="60" t="s">
        <v>280</v>
      </c>
      <c r="E55" s="60" t="s">
        <v>263</v>
      </c>
      <c r="F55" s="63"/>
      <c r="G55" s="141">
        <v>0</v>
      </c>
      <c r="H55" s="142">
        <v>0</v>
      </c>
      <c r="I55" s="141">
        <v>0.3</v>
      </c>
      <c r="J55" s="142">
        <v>0</v>
      </c>
      <c r="K55" s="142">
        <v>1</v>
      </c>
      <c r="L55" s="142">
        <v>0</v>
      </c>
      <c r="M55" s="142">
        <v>0</v>
      </c>
      <c r="N55" s="142">
        <v>0.02</v>
      </c>
      <c r="O55" s="142">
        <v>3</v>
      </c>
      <c r="P55" s="142">
        <v>1</v>
      </c>
      <c r="Q55" s="142">
        <v>37</v>
      </c>
      <c r="R55" s="142">
        <v>3</v>
      </c>
      <c r="S55" s="142">
        <v>0.02</v>
      </c>
      <c r="T55" s="142">
        <v>0.01</v>
      </c>
      <c r="U55" s="142">
        <v>0</v>
      </c>
      <c r="V55" s="142">
        <v>0</v>
      </c>
      <c r="W55" s="142">
        <v>0</v>
      </c>
      <c r="X55" s="142">
        <v>0</v>
      </c>
      <c r="Y55" s="142">
        <v>0</v>
      </c>
      <c r="Z55" s="142">
        <v>0</v>
      </c>
      <c r="AA55" s="142">
        <v>0</v>
      </c>
      <c r="AB55" s="142">
        <v>0</v>
      </c>
      <c r="AC55" s="142">
        <v>0</v>
      </c>
      <c r="AD55" s="142">
        <v>1.4E-2</v>
      </c>
      <c r="AE55" s="142">
        <v>0</v>
      </c>
      <c r="AF55" s="142">
        <v>0</v>
      </c>
      <c r="AG55" s="142">
        <v>0</v>
      </c>
      <c r="AH55" s="142"/>
      <c r="AI55" s="142">
        <v>0</v>
      </c>
      <c r="AJ55" s="142">
        <v>0.4</v>
      </c>
      <c r="AK55" s="142">
        <v>0</v>
      </c>
      <c r="AL55" s="142">
        <v>5</v>
      </c>
      <c r="AM55" s="142">
        <v>5</v>
      </c>
      <c r="AN55" s="142">
        <v>0</v>
      </c>
      <c r="AO55" s="142">
        <v>0</v>
      </c>
      <c r="AP55" s="142">
        <v>0</v>
      </c>
      <c r="AQ55" s="142">
        <v>0</v>
      </c>
      <c r="AR55" s="142">
        <v>0</v>
      </c>
      <c r="AS55" s="142">
        <v>0</v>
      </c>
      <c r="AT55" s="142">
        <v>0</v>
      </c>
      <c r="AU55" s="142">
        <v>0</v>
      </c>
      <c r="AV55" s="142">
        <v>0</v>
      </c>
      <c r="AW55" s="142">
        <v>0</v>
      </c>
      <c r="AX55" s="142">
        <v>0</v>
      </c>
      <c r="AY55" s="142">
        <v>0</v>
      </c>
      <c r="AZ55" s="142">
        <v>0</v>
      </c>
      <c r="BA55" s="142">
        <v>0</v>
      </c>
      <c r="BB55" s="142">
        <v>0</v>
      </c>
      <c r="BC55" s="142">
        <v>0</v>
      </c>
      <c r="BD55" s="142">
        <v>0</v>
      </c>
      <c r="BE55" s="142">
        <v>0</v>
      </c>
      <c r="BF55" s="142">
        <v>0</v>
      </c>
      <c r="BG55" s="142">
        <v>1E-3</v>
      </c>
      <c r="BH55" s="44" t="str">
        <f t="shared" si="0"/>
        <v>new food('n','Tea black brewed','Bev','1cup','','0','0','0.3','0','1','0','0','0.02','3','1','37','3','0.02','0.01','0','0','0','0','0','0','0','0','0','0.014','0','0','0','0','0.4','0','5','5','0','0','0','0','0','0','0','0','0','0','0','0','0','0','0','0','0','0','0','0.001'),</v>
      </c>
    </row>
    <row r="56" spans="1:71" s="116" customFormat="1" ht="15.6">
      <c r="A56" s="116">
        <v>9</v>
      </c>
      <c r="B56" s="133" t="s">
        <v>362</v>
      </c>
      <c r="C56" s="116" t="s">
        <v>342</v>
      </c>
      <c r="D56" s="50" t="s">
        <v>88</v>
      </c>
      <c r="E56" s="58" t="s">
        <v>320</v>
      </c>
      <c r="F56" s="117"/>
      <c r="G56" s="150">
        <v>18.97</v>
      </c>
      <c r="H56" s="150">
        <v>73.12</v>
      </c>
      <c r="I56" s="150">
        <v>62.78</v>
      </c>
      <c r="J56" s="150">
        <v>1.78</v>
      </c>
      <c r="K56" s="150">
        <v>929.01</v>
      </c>
      <c r="L56" s="150">
        <v>32.619999999999997</v>
      </c>
      <c r="M56" s="150">
        <v>10.59</v>
      </c>
      <c r="N56" s="150">
        <v>4.47</v>
      </c>
      <c r="O56" s="150">
        <v>194.25</v>
      </c>
      <c r="P56" s="150">
        <v>434.75</v>
      </c>
      <c r="Q56" s="150" t="s">
        <v>363</v>
      </c>
      <c r="R56" s="150">
        <v>33.25</v>
      </c>
      <c r="S56" s="150">
        <v>4.22</v>
      </c>
      <c r="T56" s="150">
        <v>1.76</v>
      </c>
      <c r="U56" s="150">
        <v>3.41</v>
      </c>
      <c r="V56" s="150">
        <v>7.06</v>
      </c>
      <c r="W56" s="150">
        <v>13.5</v>
      </c>
      <c r="X56" s="150">
        <v>1.89</v>
      </c>
      <c r="Y56" s="150">
        <v>0</v>
      </c>
      <c r="Z56" s="150">
        <v>520</v>
      </c>
      <c r="AA56" s="151">
        <v>501.63</v>
      </c>
      <c r="AB56" s="150">
        <v>64.69</v>
      </c>
      <c r="AC56" s="150">
        <v>0.53</v>
      </c>
      <c r="AD56" s="150">
        <v>0.3</v>
      </c>
      <c r="AE56" s="150">
        <v>2.88</v>
      </c>
      <c r="AF56" s="150">
        <v>0.56999999999999995</v>
      </c>
      <c r="AG56" s="150">
        <v>0.7</v>
      </c>
      <c r="AH56" s="150"/>
      <c r="AI56" s="150">
        <v>0.44</v>
      </c>
      <c r="AJ56" s="150">
        <v>67.47</v>
      </c>
      <c r="AK56" s="150">
        <v>40.18</v>
      </c>
      <c r="AL56" s="150">
        <v>148.18</v>
      </c>
      <c r="AM56" s="150">
        <v>168.18</v>
      </c>
      <c r="AN56" s="150">
        <v>0.3</v>
      </c>
      <c r="AO56" s="150">
        <v>0.17</v>
      </c>
      <c r="AP56" s="150">
        <v>0.6</v>
      </c>
      <c r="AQ56" s="150">
        <v>0.63</v>
      </c>
      <c r="AR56" s="150">
        <v>1.17</v>
      </c>
      <c r="AS56" s="150">
        <v>0.42</v>
      </c>
      <c r="AT56" s="150">
        <v>0.24</v>
      </c>
      <c r="AU56" s="150">
        <v>0.21</v>
      </c>
      <c r="AV56" s="150">
        <v>0.71</v>
      </c>
      <c r="AW56" s="150">
        <v>0.41</v>
      </c>
      <c r="AX56" s="150">
        <v>0.75</v>
      </c>
      <c r="AY56" s="150">
        <v>2.2799999999999998</v>
      </c>
      <c r="AZ56" s="150">
        <v>0.7</v>
      </c>
      <c r="BA56" s="150">
        <v>1.83</v>
      </c>
      <c r="BB56" s="150">
        <v>2.82</v>
      </c>
      <c r="BC56" s="150">
        <v>0.82</v>
      </c>
      <c r="BD56" s="150">
        <v>0.71</v>
      </c>
      <c r="BE56" s="150">
        <v>0.93</v>
      </c>
      <c r="BF56" s="150">
        <v>3.75</v>
      </c>
      <c r="BG56" s="150">
        <v>13.6</v>
      </c>
      <c r="BH56" s="44"/>
    </row>
    <row r="57" spans="1:71" s="116" customFormat="1" ht="15" customHeight="1">
      <c r="A57" s="116">
        <v>10</v>
      </c>
      <c r="B57" s="133">
        <v>4</v>
      </c>
      <c r="C57" s="116" t="s">
        <v>347</v>
      </c>
      <c r="D57" s="50" t="s">
        <v>207</v>
      </c>
      <c r="E57" s="58" t="s">
        <v>320</v>
      </c>
      <c r="F57" s="152"/>
      <c r="G57" s="117">
        <v>10.37</v>
      </c>
      <c r="H57" s="142">
        <v>5.51</v>
      </c>
      <c r="I57" s="117">
        <v>24.82</v>
      </c>
      <c r="J57" s="142">
        <v>0.75</v>
      </c>
      <c r="K57" s="142">
        <v>240.04</v>
      </c>
      <c r="L57" s="142">
        <v>4.54</v>
      </c>
      <c r="M57" s="117">
        <v>5.36</v>
      </c>
      <c r="N57" s="142">
        <v>2.35</v>
      </c>
      <c r="O57" s="142">
        <v>59.58</v>
      </c>
      <c r="P57" s="142">
        <v>176.83</v>
      </c>
      <c r="Q57" s="142">
        <v>537.38</v>
      </c>
      <c r="R57" s="142">
        <v>260.95999999999998</v>
      </c>
      <c r="S57" s="142">
        <v>1.47</v>
      </c>
      <c r="T57" s="142">
        <v>0.26</v>
      </c>
      <c r="U57" s="142">
        <v>0.32</v>
      </c>
      <c r="V57" s="142">
        <v>8.2899999999999991</v>
      </c>
      <c r="W57" s="142">
        <v>6</v>
      </c>
      <c r="X57" s="142">
        <v>1.22</v>
      </c>
      <c r="Y57" s="142">
        <v>0.67</v>
      </c>
      <c r="Z57" s="117">
        <v>35.67</v>
      </c>
      <c r="AA57" s="150"/>
      <c r="AB57" s="142">
        <v>31.47</v>
      </c>
      <c r="AC57" s="142">
        <v>0.24</v>
      </c>
      <c r="AD57" s="142">
        <v>0.22</v>
      </c>
      <c r="AE57" s="117">
        <v>3.26</v>
      </c>
      <c r="AF57" s="142">
        <v>0.24</v>
      </c>
      <c r="AG57" s="117">
        <v>0.35</v>
      </c>
      <c r="AH57" s="117"/>
      <c r="AI57" s="142">
        <v>0.12</v>
      </c>
      <c r="AJ57" s="117">
        <v>57.27</v>
      </c>
      <c r="AK57" s="117">
        <v>143.31</v>
      </c>
      <c r="AL57" s="117">
        <v>71.42</v>
      </c>
      <c r="AM57" s="117">
        <v>96.25</v>
      </c>
      <c r="AN57" s="117">
        <v>3.3</v>
      </c>
      <c r="AO57" s="142">
        <v>0.04</v>
      </c>
      <c r="AP57" s="142">
        <v>0.13</v>
      </c>
      <c r="AQ57" s="142">
        <v>0.14000000000000001</v>
      </c>
      <c r="AR57" s="142">
        <v>0.25</v>
      </c>
      <c r="AS57" s="142">
        <v>0.19</v>
      </c>
      <c r="AT57" s="142">
        <v>0.11</v>
      </c>
      <c r="AU57" s="117">
        <v>0.08</v>
      </c>
      <c r="AV57" s="142">
        <v>0.16</v>
      </c>
      <c r="AW57" s="142">
        <v>0.09</v>
      </c>
      <c r="AX57" s="142">
        <v>0.18</v>
      </c>
      <c r="AY57" s="117">
        <v>0.23</v>
      </c>
      <c r="AZ57" s="142">
        <v>0.13</v>
      </c>
      <c r="BA57" s="142">
        <v>0.4</v>
      </c>
      <c r="BB57" s="142">
        <v>0.6</v>
      </c>
      <c r="BC57" s="142">
        <v>0.14000000000000001</v>
      </c>
      <c r="BD57" s="142">
        <v>0.23</v>
      </c>
      <c r="BE57" s="142">
        <v>1.59</v>
      </c>
      <c r="BF57" s="142">
        <v>20.25</v>
      </c>
      <c r="BG57" s="117">
        <v>1.89</v>
      </c>
      <c r="BH57" s="46"/>
      <c r="BI57" s="44"/>
    </row>
    <row r="58" spans="1:71" s="116" customFormat="1" ht="15" customHeight="1">
      <c r="A58" s="116">
        <v>11</v>
      </c>
      <c r="B58" s="133" t="s">
        <v>362</v>
      </c>
      <c r="C58" s="116" t="s">
        <v>366</v>
      </c>
      <c r="D58" s="50" t="s">
        <v>88</v>
      </c>
      <c r="E58" s="58" t="s">
        <v>320</v>
      </c>
      <c r="F58" s="152"/>
      <c r="G58" s="56">
        <v>13.52</v>
      </c>
      <c r="H58" s="63">
        <v>19.05</v>
      </c>
      <c r="I58" s="150">
        <v>12.59</v>
      </c>
      <c r="J58" s="150">
        <v>67.319999999999993</v>
      </c>
      <c r="K58" s="150">
        <v>220.83</v>
      </c>
      <c r="L58" s="63">
        <v>2.2799999999999998</v>
      </c>
      <c r="M58" s="150">
        <v>3.36</v>
      </c>
      <c r="N58" s="150">
        <v>1</v>
      </c>
      <c r="O58" s="56">
        <v>21.9</v>
      </c>
      <c r="P58" s="56">
        <v>99.03</v>
      </c>
      <c r="Q58" s="56">
        <v>234.2</v>
      </c>
      <c r="R58" s="56">
        <v>1300.3</v>
      </c>
      <c r="S58" s="63">
        <v>0.6</v>
      </c>
      <c r="T58" s="63">
        <v>0.17</v>
      </c>
      <c r="U58" s="63">
        <v>7.0000000000000007E-2</v>
      </c>
      <c r="V58" s="63">
        <v>13.33</v>
      </c>
      <c r="W58" s="63">
        <v>67</v>
      </c>
      <c r="X58" s="63">
        <v>3.47</v>
      </c>
      <c r="Y58" s="63">
        <v>34.799999999999997</v>
      </c>
      <c r="Z58" s="63">
        <v>11.2</v>
      </c>
      <c r="AA58" s="63">
        <v>552.79999999999995</v>
      </c>
      <c r="AB58" s="63">
        <v>2.98</v>
      </c>
      <c r="AC58" s="63">
        <v>0.09</v>
      </c>
      <c r="AD58" s="63">
        <v>0.23</v>
      </c>
      <c r="AE58" s="56">
        <v>0.75</v>
      </c>
      <c r="AF58" s="63">
        <v>0.76</v>
      </c>
      <c r="AG58" s="63">
        <v>0.19</v>
      </c>
      <c r="AH58" s="63"/>
      <c r="AI58" s="56">
        <v>0.5</v>
      </c>
      <c r="AJ58" s="56">
        <v>135.87</v>
      </c>
      <c r="AK58" s="56">
        <v>2.14</v>
      </c>
      <c r="AL58" s="56">
        <v>25.8</v>
      </c>
      <c r="AM58" s="56">
        <v>23.8</v>
      </c>
      <c r="AN58" s="56">
        <v>0.1</v>
      </c>
      <c r="AO58" s="56">
        <v>7.0000000000000007E-2</v>
      </c>
      <c r="AP58" s="63">
        <v>0.02</v>
      </c>
      <c r="AQ58" s="63">
        <v>0.28000000000000003</v>
      </c>
      <c r="AR58" s="63">
        <v>0.47</v>
      </c>
      <c r="AS58" s="63">
        <v>0.4</v>
      </c>
      <c r="AT58" s="63">
        <v>0.26</v>
      </c>
      <c r="AU58" s="63">
        <v>0.13</v>
      </c>
      <c r="AV58" s="63">
        <v>0.3</v>
      </c>
      <c r="AW58" s="63">
        <v>0.23</v>
      </c>
      <c r="AX58" s="63">
        <v>0.37</v>
      </c>
      <c r="AY58" s="63">
        <v>0.33</v>
      </c>
      <c r="AZ58" s="63">
        <v>0.05</v>
      </c>
      <c r="BA58" s="63">
        <v>0.67</v>
      </c>
      <c r="BB58" s="63">
        <v>0.5</v>
      </c>
      <c r="BC58" s="63">
        <v>0.19</v>
      </c>
      <c r="BD58" s="56">
        <v>0.23</v>
      </c>
      <c r="BE58" s="56">
        <v>0.4</v>
      </c>
      <c r="BF58" s="56">
        <v>151.33000000000001</v>
      </c>
      <c r="BG58" s="56">
        <v>10.72</v>
      </c>
      <c r="BH58" s="46"/>
      <c r="BI58" s="44"/>
    </row>
    <row r="59" spans="1:71" ht="15" customHeight="1">
      <c r="A59" s="98">
        <v>1166199</v>
      </c>
      <c r="B59" s="132" t="s">
        <v>362</v>
      </c>
      <c r="C59" s="44" t="s">
        <v>367</v>
      </c>
      <c r="D59" s="50" t="s">
        <v>285</v>
      </c>
      <c r="E59" s="50" t="s">
        <v>368</v>
      </c>
      <c r="F59" s="117">
        <v>29</v>
      </c>
      <c r="G59" s="117">
        <v>3.45</v>
      </c>
      <c r="H59" s="117">
        <v>6.9</v>
      </c>
      <c r="I59" s="117">
        <v>72.41</v>
      </c>
      <c r="J59" s="117">
        <v>0</v>
      </c>
      <c r="K59" s="117">
        <v>345</v>
      </c>
      <c r="L59" s="117">
        <v>0</v>
      </c>
      <c r="M59" s="117">
        <v>3.4</v>
      </c>
      <c r="N59" s="117">
        <v>2.38</v>
      </c>
      <c r="O59" s="117">
        <v>0</v>
      </c>
      <c r="P59" s="117">
        <v>0</v>
      </c>
      <c r="Q59" s="117">
        <v>259</v>
      </c>
      <c r="R59" s="117">
        <v>328</v>
      </c>
      <c r="S59" s="117">
        <v>0</v>
      </c>
      <c r="T59" s="117">
        <v>0</v>
      </c>
      <c r="U59" s="117">
        <v>0</v>
      </c>
      <c r="V59" s="117">
        <v>0</v>
      </c>
      <c r="W59" s="117">
        <v>0</v>
      </c>
      <c r="X59" s="117">
        <v>0</v>
      </c>
      <c r="Y59" s="117">
        <v>0</v>
      </c>
      <c r="Z59" s="117">
        <v>0</v>
      </c>
      <c r="AA59" s="117">
        <v>0</v>
      </c>
      <c r="AB59" s="117">
        <v>0.3</v>
      </c>
      <c r="AC59" s="117">
        <v>0</v>
      </c>
      <c r="AD59" s="117">
        <v>0</v>
      </c>
      <c r="AE59" s="117">
        <v>0</v>
      </c>
      <c r="AF59" s="117">
        <v>0</v>
      </c>
      <c r="AG59" s="117">
        <v>0</v>
      </c>
      <c r="AH59" s="117"/>
      <c r="AI59" s="117">
        <v>0</v>
      </c>
      <c r="AJ59" s="117">
        <v>0</v>
      </c>
      <c r="AK59" s="117">
        <v>0</v>
      </c>
      <c r="AL59" s="117">
        <v>0</v>
      </c>
      <c r="AM59" s="117">
        <v>0</v>
      </c>
      <c r="AN59" s="117">
        <v>0</v>
      </c>
      <c r="AO59" s="117">
        <v>0</v>
      </c>
      <c r="AP59" s="117">
        <v>0</v>
      </c>
      <c r="AQ59" s="117">
        <v>0</v>
      </c>
      <c r="AR59" s="117">
        <v>0</v>
      </c>
      <c r="AS59" s="117">
        <v>0</v>
      </c>
      <c r="AT59" s="117">
        <v>0</v>
      </c>
      <c r="AU59" s="117">
        <v>0</v>
      </c>
      <c r="AV59" s="117">
        <v>0</v>
      </c>
      <c r="AW59" s="117">
        <v>0</v>
      </c>
      <c r="AX59" s="117">
        <v>0</v>
      </c>
      <c r="AY59" s="117">
        <v>0</v>
      </c>
      <c r="AZ59" s="117">
        <v>0</v>
      </c>
      <c r="BA59" s="117">
        <v>0</v>
      </c>
      <c r="BB59" s="117">
        <v>0</v>
      </c>
      <c r="BC59" s="117">
        <v>0</v>
      </c>
      <c r="BD59" s="117">
        <v>0</v>
      </c>
      <c r="BE59" s="117">
        <v>0</v>
      </c>
      <c r="BF59" s="117">
        <v>0</v>
      </c>
      <c r="BG59" s="117">
        <v>0</v>
      </c>
    </row>
    <row r="60" spans="1:71" ht="15" customHeight="1">
      <c r="A60" s="98">
        <v>12</v>
      </c>
      <c r="B60" s="132" t="s">
        <v>362</v>
      </c>
      <c r="C60" s="44" t="s">
        <v>392</v>
      </c>
      <c r="D60" s="50" t="s">
        <v>285</v>
      </c>
      <c r="E60" s="50" t="s">
        <v>320</v>
      </c>
      <c r="F60" s="35">
        <f>F59/15</f>
        <v>1.9333333333333333</v>
      </c>
      <c r="G60" s="35">
        <f t="shared" ref="G60:BF60" si="3">G59/15</f>
        <v>0.23</v>
      </c>
      <c r="H60" s="35">
        <f t="shared" si="3"/>
        <v>0.46</v>
      </c>
      <c r="I60" s="35">
        <f t="shared" si="3"/>
        <v>4.8273333333333328</v>
      </c>
      <c r="J60" s="35">
        <f t="shared" si="3"/>
        <v>0</v>
      </c>
      <c r="K60" s="35">
        <f t="shared" si="3"/>
        <v>23</v>
      </c>
      <c r="L60" s="35">
        <f t="shared" si="3"/>
        <v>0</v>
      </c>
      <c r="M60" s="35">
        <f t="shared" si="3"/>
        <v>0.22666666666666666</v>
      </c>
      <c r="N60" s="35">
        <f t="shared" si="3"/>
        <v>0.15866666666666665</v>
      </c>
      <c r="O60" s="35">
        <f t="shared" si="3"/>
        <v>0</v>
      </c>
      <c r="P60" s="35">
        <f t="shared" si="3"/>
        <v>0</v>
      </c>
      <c r="Q60" s="35">
        <f t="shared" si="3"/>
        <v>17.266666666666666</v>
      </c>
      <c r="R60" s="35">
        <f t="shared" si="3"/>
        <v>21.866666666666667</v>
      </c>
      <c r="S60" s="35">
        <f t="shared" si="3"/>
        <v>0</v>
      </c>
      <c r="T60" s="35">
        <f t="shared" si="3"/>
        <v>0</v>
      </c>
      <c r="U60" s="35">
        <f t="shared" si="3"/>
        <v>0</v>
      </c>
      <c r="V60" s="35">
        <f t="shared" si="3"/>
        <v>0</v>
      </c>
      <c r="W60" s="35">
        <f t="shared" si="3"/>
        <v>0</v>
      </c>
      <c r="X60" s="35">
        <f t="shared" si="3"/>
        <v>0</v>
      </c>
      <c r="Y60" s="35">
        <f t="shared" si="3"/>
        <v>0</v>
      </c>
      <c r="Z60" s="35">
        <f t="shared" si="3"/>
        <v>0</v>
      </c>
      <c r="AA60" s="35">
        <f t="shared" si="3"/>
        <v>0</v>
      </c>
      <c r="AB60" s="35">
        <f t="shared" si="3"/>
        <v>0.02</v>
      </c>
      <c r="AC60" s="35">
        <f t="shared" si="3"/>
        <v>0</v>
      </c>
      <c r="AD60" s="35">
        <f t="shared" si="3"/>
        <v>0</v>
      </c>
      <c r="AE60" s="35">
        <f t="shared" si="3"/>
        <v>0</v>
      </c>
      <c r="AF60" s="35">
        <f t="shared" si="3"/>
        <v>0</v>
      </c>
      <c r="AG60" s="35">
        <f t="shared" si="3"/>
        <v>0</v>
      </c>
      <c r="AH60" s="35"/>
      <c r="AI60" s="35">
        <f t="shared" si="3"/>
        <v>0</v>
      </c>
      <c r="AJ60" s="35">
        <f t="shared" si="3"/>
        <v>0</v>
      </c>
      <c r="AK60" s="35">
        <f t="shared" si="3"/>
        <v>0</v>
      </c>
      <c r="AL60" s="35">
        <f t="shared" si="3"/>
        <v>0</v>
      </c>
      <c r="AM60" s="35">
        <f t="shared" si="3"/>
        <v>0</v>
      </c>
      <c r="AN60" s="35">
        <f t="shared" si="3"/>
        <v>0</v>
      </c>
      <c r="AO60" s="35">
        <f t="shared" si="3"/>
        <v>0</v>
      </c>
      <c r="AP60" s="35">
        <f t="shared" si="3"/>
        <v>0</v>
      </c>
      <c r="AQ60" s="35">
        <f t="shared" si="3"/>
        <v>0</v>
      </c>
      <c r="AR60" s="35">
        <f t="shared" si="3"/>
        <v>0</v>
      </c>
      <c r="AS60" s="35">
        <f t="shared" si="3"/>
        <v>0</v>
      </c>
      <c r="AT60" s="35">
        <f t="shared" si="3"/>
        <v>0</v>
      </c>
      <c r="AU60" s="35">
        <f t="shared" si="3"/>
        <v>0</v>
      </c>
      <c r="AV60" s="35">
        <f t="shared" si="3"/>
        <v>0</v>
      </c>
      <c r="AW60" s="35">
        <f t="shared" si="3"/>
        <v>0</v>
      </c>
      <c r="AX60" s="35">
        <f t="shared" si="3"/>
        <v>0</v>
      </c>
      <c r="AY60" s="35">
        <f t="shared" si="3"/>
        <v>0</v>
      </c>
      <c r="AZ60" s="35">
        <f t="shared" si="3"/>
        <v>0</v>
      </c>
      <c r="BA60" s="35">
        <f t="shared" si="3"/>
        <v>0</v>
      </c>
      <c r="BB60" s="35">
        <f t="shared" si="3"/>
        <v>0</v>
      </c>
      <c r="BC60" s="35">
        <f t="shared" si="3"/>
        <v>0</v>
      </c>
      <c r="BD60" s="35">
        <f t="shared" si="3"/>
        <v>0</v>
      </c>
      <c r="BE60" s="35">
        <f t="shared" si="3"/>
        <v>0</v>
      </c>
      <c r="BF60" s="35">
        <f t="shared" si="3"/>
        <v>0</v>
      </c>
      <c r="BG60" s="117"/>
    </row>
    <row r="61" spans="1:71" ht="15" customHeight="1">
      <c r="F61" s="117"/>
      <c r="G61" s="117"/>
      <c r="H61" s="117"/>
      <c r="I61" s="117"/>
      <c r="J61" s="117"/>
      <c r="K61" s="117"/>
      <c r="L61" s="117"/>
      <c r="M61" s="117"/>
      <c r="N61" s="117"/>
      <c r="O61" s="117"/>
      <c r="P61" s="117"/>
      <c r="Q61" s="117"/>
      <c r="R61" s="117"/>
      <c r="S61" s="117"/>
      <c r="T61" s="117"/>
      <c r="U61" s="117"/>
      <c r="V61" s="117"/>
      <c r="W61" s="117"/>
      <c r="X61" s="117"/>
      <c r="Y61" s="117"/>
      <c r="Z61" s="117"/>
      <c r="AA61" s="117"/>
      <c r="AB61" s="117"/>
      <c r="AC61" s="117"/>
      <c r="AD61" s="117"/>
      <c r="AE61" s="117"/>
      <c r="AF61" s="117"/>
      <c r="AG61" s="117"/>
      <c r="AH61" s="117"/>
      <c r="AI61" s="117"/>
      <c r="AJ61" s="117"/>
      <c r="AK61" s="117"/>
      <c r="AL61" s="117"/>
      <c r="AM61" s="117"/>
      <c r="AN61" s="117"/>
      <c r="AO61" s="117"/>
      <c r="AP61" s="117"/>
      <c r="AQ61" s="117"/>
      <c r="AR61" s="117"/>
      <c r="AS61" s="117"/>
      <c r="AT61" s="117"/>
      <c r="AU61" s="117"/>
      <c r="AV61" s="117"/>
      <c r="AW61" s="117"/>
      <c r="AX61" s="117"/>
      <c r="AY61" s="117"/>
      <c r="AZ61" s="117"/>
      <c r="BA61" s="117"/>
      <c r="BB61" s="117"/>
      <c r="BC61" s="117"/>
      <c r="BD61" s="117"/>
      <c r="BE61" s="117"/>
      <c r="BF61" s="117"/>
      <c r="BG61" s="117"/>
    </row>
    <row r="62" spans="1:71" ht="15" customHeight="1">
      <c r="F62" s="117"/>
      <c r="G62" s="117"/>
      <c r="H62" s="117"/>
      <c r="I62" s="117"/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7"/>
      <c r="U62" s="117"/>
      <c r="V62" s="117"/>
      <c r="W62" s="117"/>
      <c r="X62" s="117"/>
      <c r="Y62" s="117"/>
      <c r="Z62" s="117"/>
      <c r="AA62" s="117"/>
      <c r="AB62" s="117"/>
      <c r="AC62" s="117"/>
      <c r="AD62" s="117"/>
      <c r="AE62" s="117"/>
      <c r="AF62" s="117"/>
      <c r="AG62" s="117"/>
      <c r="AH62" s="117"/>
      <c r="AI62" s="117"/>
      <c r="AJ62" s="117"/>
      <c r="AK62" s="117"/>
      <c r="AL62" s="117"/>
      <c r="AM62" s="117"/>
      <c r="AN62" s="117"/>
      <c r="AO62" s="117"/>
      <c r="AP62" s="117"/>
      <c r="AQ62" s="117"/>
      <c r="AR62" s="117"/>
      <c r="AS62" s="117"/>
      <c r="AT62" s="117"/>
      <c r="AU62" s="117"/>
      <c r="AV62" s="117"/>
      <c r="AW62" s="117"/>
      <c r="AX62" s="117"/>
      <c r="AY62" s="117"/>
      <c r="AZ62" s="117"/>
      <c r="BA62" s="117"/>
      <c r="BB62" s="117"/>
      <c r="BC62" s="117"/>
      <c r="BD62" s="117"/>
      <c r="BE62" s="117"/>
      <c r="BF62" s="117"/>
      <c r="BG62" s="117"/>
    </row>
    <row r="63" spans="1:71" s="116" customFormat="1" ht="15.6">
      <c r="B63" s="133"/>
      <c r="D63" s="50"/>
      <c r="E63" s="58"/>
      <c r="F63" s="117"/>
      <c r="G63" s="141"/>
      <c r="H63" s="142"/>
      <c r="I63" s="142"/>
      <c r="J63" s="117"/>
      <c r="K63" s="142"/>
      <c r="L63" s="142"/>
      <c r="M63" s="142"/>
      <c r="N63" s="142"/>
      <c r="O63" s="117"/>
      <c r="P63" s="117"/>
      <c r="Q63" s="117"/>
      <c r="R63" s="117"/>
      <c r="S63" s="117"/>
      <c r="T63" s="142"/>
      <c r="U63" s="117"/>
      <c r="V63" s="117"/>
      <c r="W63" s="117"/>
      <c r="X63" s="117"/>
      <c r="Y63" s="117"/>
      <c r="Z63" s="142"/>
      <c r="AA63" s="117"/>
      <c r="AB63" s="117"/>
      <c r="AC63" s="117"/>
      <c r="AD63" s="117"/>
      <c r="AE63" s="117"/>
      <c r="AF63" s="117"/>
      <c r="AG63" s="117"/>
      <c r="AH63" s="117"/>
      <c r="AI63" s="117"/>
      <c r="AJ63" s="142"/>
      <c r="AK63" s="117"/>
      <c r="AL63" s="142"/>
      <c r="AM63" s="117"/>
      <c r="AN63" s="142"/>
      <c r="AO63" s="117"/>
      <c r="AP63" s="142"/>
      <c r="AQ63" s="117"/>
      <c r="AR63" s="142"/>
      <c r="AS63" s="117"/>
      <c r="AT63" s="142"/>
      <c r="AU63" s="117"/>
      <c r="AV63" s="142"/>
      <c r="AW63" s="117"/>
      <c r="AX63" s="142"/>
      <c r="AY63" s="142"/>
      <c r="AZ63" s="142"/>
      <c r="BA63" s="142"/>
      <c r="BB63" s="142"/>
      <c r="BC63" s="142"/>
      <c r="BD63" s="142"/>
      <c r="BE63" s="142"/>
      <c r="BF63" s="142"/>
      <c r="BG63" s="142"/>
      <c r="BH63" s="44"/>
    </row>
    <row r="64" spans="1:71" s="51" customFormat="1" ht="30" customHeight="1">
      <c r="A64" s="104"/>
      <c r="B64" s="134"/>
      <c r="C64" s="92" t="s">
        <v>199</v>
      </c>
      <c r="D64" s="93"/>
      <c r="E64" s="93"/>
      <c r="F64" s="114"/>
      <c r="G64" s="94">
        <v>50</v>
      </c>
      <c r="H64" s="94"/>
      <c r="I64" s="94"/>
      <c r="J64" s="94"/>
      <c r="K64" s="94"/>
      <c r="L64" s="94"/>
      <c r="M64" s="94"/>
      <c r="N64" s="94">
        <v>18</v>
      </c>
      <c r="O64" s="94">
        <v>750</v>
      </c>
      <c r="P64" s="94">
        <v>700</v>
      </c>
      <c r="Q64" s="94">
        <v>2600</v>
      </c>
      <c r="R64" s="94"/>
      <c r="S64" s="94">
        <v>15</v>
      </c>
      <c r="T64" s="94">
        <v>0.9</v>
      </c>
      <c r="U64" s="94">
        <v>3</v>
      </c>
      <c r="V64" s="94">
        <v>100</v>
      </c>
      <c r="W64" s="94">
        <v>125</v>
      </c>
      <c r="X64" s="94">
        <v>400</v>
      </c>
      <c r="Y64" s="94">
        <v>400</v>
      </c>
      <c r="Z64" s="94"/>
      <c r="AA64" s="94"/>
      <c r="AB64" s="94">
        <v>1000</v>
      </c>
      <c r="AC64" s="94">
        <v>50</v>
      </c>
      <c r="AD64" s="94">
        <v>15</v>
      </c>
      <c r="AE64" s="94">
        <v>15</v>
      </c>
      <c r="AF64" s="94">
        <v>50</v>
      </c>
      <c r="AG64" s="94">
        <v>50</v>
      </c>
      <c r="AH64" s="94"/>
      <c r="AI64" s="94">
        <v>200</v>
      </c>
      <c r="AJ64" s="94">
        <v>50</v>
      </c>
      <c r="AK64" s="94">
        <v>100</v>
      </c>
      <c r="AL64" s="94">
        <v>1500</v>
      </c>
      <c r="AM64" s="94"/>
      <c r="AN64" s="94"/>
      <c r="AO64" s="94"/>
      <c r="AP64" s="94"/>
      <c r="AQ64" s="94"/>
      <c r="AR64" s="94"/>
      <c r="AS64" s="94">
        <v>0.05</v>
      </c>
      <c r="AT64" s="94">
        <v>0.05</v>
      </c>
      <c r="AU64" s="94">
        <v>0.05</v>
      </c>
      <c r="AV64" s="94"/>
      <c r="AW64" s="94">
        <v>0.5</v>
      </c>
      <c r="AX64" s="94"/>
      <c r="AY64" s="94"/>
      <c r="AZ64" s="94"/>
      <c r="BA64" s="94"/>
      <c r="BB64" s="94"/>
      <c r="BC64" s="94"/>
      <c r="BD64" s="120"/>
      <c r="BE64" s="120"/>
      <c r="BF64" s="120"/>
      <c r="BG64" s="120"/>
      <c r="BH64" s="44"/>
      <c r="BK64" s="44"/>
      <c r="BL64" s="44"/>
    </row>
    <row r="65" spans="1:60" s="49" customFormat="1" ht="30.75" customHeight="1">
      <c r="A65" s="105"/>
      <c r="B65" s="135"/>
      <c r="C65" s="51"/>
      <c r="D65" s="50"/>
      <c r="E65" s="50"/>
      <c r="F65" s="98"/>
      <c r="G65" s="51" t="s">
        <v>127</v>
      </c>
      <c r="H65" s="51" t="s">
        <v>135</v>
      </c>
      <c r="I65" s="51" t="s">
        <v>128</v>
      </c>
      <c r="J65" s="51" t="s">
        <v>129</v>
      </c>
      <c r="K65" s="51" t="s">
        <v>130</v>
      </c>
      <c r="L65" s="51" t="s">
        <v>131</v>
      </c>
      <c r="M65" s="51" t="s">
        <v>125</v>
      </c>
      <c r="N65" s="51" t="s">
        <v>134</v>
      </c>
      <c r="O65" s="51" t="s">
        <v>216</v>
      </c>
      <c r="P65" s="51" t="s">
        <v>137</v>
      </c>
      <c r="Q65" s="51" t="s">
        <v>138</v>
      </c>
      <c r="R65" s="51" t="s">
        <v>139</v>
      </c>
      <c r="S65" s="51" t="s">
        <v>141</v>
      </c>
      <c r="T65" s="51" t="s">
        <v>142</v>
      </c>
      <c r="U65" s="51" t="s">
        <v>126</v>
      </c>
      <c r="V65" s="51" t="s">
        <v>143</v>
      </c>
      <c r="W65" s="51" t="s">
        <v>147</v>
      </c>
      <c r="X65" s="51" t="s">
        <v>148</v>
      </c>
      <c r="Y65" s="51" t="s">
        <v>150</v>
      </c>
      <c r="Z65" s="51" t="s">
        <v>151</v>
      </c>
      <c r="AA65" s="51" t="s">
        <v>152</v>
      </c>
      <c r="AB65" s="51" t="s">
        <v>211</v>
      </c>
      <c r="AC65" s="51" t="s">
        <v>155</v>
      </c>
      <c r="AD65" s="51" t="s">
        <v>156</v>
      </c>
      <c r="AE65" s="51" t="s">
        <v>158</v>
      </c>
      <c r="AF65" s="51" t="s">
        <v>217</v>
      </c>
      <c r="AG65" s="51" t="s">
        <v>160</v>
      </c>
      <c r="AH65" s="51"/>
      <c r="AI65" s="51" t="s">
        <v>161</v>
      </c>
      <c r="AJ65" s="51" t="s">
        <v>162</v>
      </c>
      <c r="AK65" s="51" t="s">
        <v>163</v>
      </c>
      <c r="AL65" s="51" t="s">
        <v>164</v>
      </c>
      <c r="AM65" s="51" t="s">
        <v>165</v>
      </c>
      <c r="AN65" s="51" t="s">
        <v>123</v>
      </c>
      <c r="AO65" s="51" t="s">
        <v>166</v>
      </c>
      <c r="AP65" s="51" t="s">
        <v>213</v>
      </c>
      <c r="AQ65" s="51" t="s">
        <v>168</v>
      </c>
      <c r="AR65" s="51" t="s">
        <v>169</v>
      </c>
      <c r="AS65" s="51" t="s">
        <v>170</v>
      </c>
      <c r="AT65" s="51" t="s">
        <v>173</v>
      </c>
      <c r="AU65" s="51" t="s">
        <v>212</v>
      </c>
      <c r="AV65" s="51" t="s">
        <v>176</v>
      </c>
      <c r="AW65" s="51" t="s">
        <v>124</v>
      </c>
      <c r="AX65" s="51" t="s">
        <v>177</v>
      </c>
      <c r="AY65" s="51" t="s">
        <v>178</v>
      </c>
      <c r="AZ65" s="51" t="s">
        <v>218</v>
      </c>
      <c r="BA65" s="51" t="s">
        <v>215</v>
      </c>
      <c r="BB65" s="51" t="s">
        <v>214</v>
      </c>
      <c r="BC65" s="51" t="s">
        <v>184</v>
      </c>
      <c r="BD65" s="51" t="s">
        <v>185</v>
      </c>
      <c r="BE65" s="51" t="s">
        <v>187</v>
      </c>
      <c r="BF65" s="51" t="s">
        <v>188</v>
      </c>
      <c r="BG65" s="51" t="s">
        <v>189</v>
      </c>
    </row>
    <row r="66" spans="1:60" s="116" customFormat="1" ht="78">
      <c r="A66" s="95"/>
      <c r="B66" s="130"/>
      <c r="C66" s="52"/>
      <c r="D66" s="47" t="s">
        <v>86</v>
      </c>
      <c r="E66" s="48" t="s">
        <v>76</v>
      </c>
      <c r="F66" s="106" t="s">
        <v>208</v>
      </c>
      <c r="G66" s="49" t="s">
        <v>57</v>
      </c>
      <c r="H66" s="49" t="s">
        <v>67</v>
      </c>
      <c r="I66" s="49" t="s">
        <v>10</v>
      </c>
      <c r="J66" s="49" t="s">
        <v>54</v>
      </c>
      <c r="K66" s="49" t="s">
        <v>71</v>
      </c>
      <c r="L66" s="49" t="s">
        <v>47</v>
      </c>
      <c r="M66" s="49" t="s">
        <v>248</v>
      </c>
      <c r="N66" s="49" t="s">
        <v>69</v>
      </c>
      <c r="O66" s="49" t="s">
        <v>28</v>
      </c>
      <c r="P66" s="49" t="s">
        <v>14</v>
      </c>
      <c r="Q66" s="49" t="s">
        <v>17</v>
      </c>
      <c r="R66" s="49" t="s">
        <v>51</v>
      </c>
      <c r="S66" s="49" t="s">
        <v>73</v>
      </c>
      <c r="T66" s="49" t="s">
        <v>4</v>
      </c>
      <c r="U66" s="49" t="s">
        <v>21</v>
      </c>
      <c r="V66" s="49" t="s">
        <v>22</v>
      </c>
      <c r="W66" s="49" t="s">
        <v>37</v>
      </c>
      <c r="X66" s="49" t="s">
        <v>65</v>
      </c>
      <c r="Y66" s="49" t="s">
        <v>24</v>
      </c>
      <c r="Z66" s="49" t="s">
        <v>68</v>
      </c>
      <c r="AA66" s="49" t="s">
        <v>12</v>
      </c>
      <c r="AB66" s="49" t="s">
        <v>60</v>
      </c>
      <c r="AC66" s="49" t="s">
        <v>62</v>
      </c>
      <c r="AD66" s="49" t="s">
        <v>20</v>
      </c>
      <c r="AE66" s="49" t="s">
        <v>59</v>
      </c>
      <c r="AF66" s="49" t="s">
        <v>61</v>
      </c>
      <c r="AG66" s="49" t="s">
        <v>18</v>
      </c>
      <c r="AH66" s="49"/>
      <c r="AI66" s="49" t="s">
        <v>46</v>
      </c>
      <c r="AJ66" s="49" t="s">
        <v>8</v>
      </c>
      <c r="AK66" s="49" t="s">
        <v>29</v>
      </c>
      <c r="AL66" s="49" t="s">
        <v>36</v>
      </c>
      <c r="AM66" s="49" t="s">
        <v>27</v>
      </c>
      <c r="AN66" s="49" t="s">
        <v>11</v>
      </c>
      <c r="AO66" s="49" t="s">
        <v>39</v>
      </c>
      <c r="AP66" s="49" t="s">
        <v>44</v>
      </c>
      <c r="AQ66" s="49" t="s">
        <v>52</v>
      </c>
      <c r="AR66" s="49" t="s">
        <v>50</v>
      </c>
      <c r="AS66" s="49" t="s">
        <v>13</v>
      </c>
      <c r="AT66" s="49" t="s">
        <v>7</v>
      </c>
      <c r="AU66" s="49" t="s">
        <v>55</v>
      </c>
      <c r="AV66" s="49" t="s">
        <v>48</v>
      </c>
      <c r="AW66" s="49" t="s">
        <v>56</v>
      </c>
      <c r="AX66" s="49" t="s">
        <v>43</v>
      </c>
      <c r="AY66" s="49" t="s">
        <v>64</v>
      </c>
      <c r="AZ66" s="49" t="s">
        <v>26</v>
      </c>
      <c r="BA66" s="49" t="s">
        <v>34</v>
      </c>
      <c r="BB66" s="49" t="s">
        <v>58</v>
      </c>
      <c r="BC66" s="49" t="s">
        <v>5</v>
      </c>
      <c r="BD66" s="49" t="s">
        <v>31</v>
      </c>
      <c r="BE66" s="49" t="s">
        <v>16</v>
      </c>
      <c r="BF66" s="49" t="s">
        <v>40</v>
      </c>
      <c r="BG66" s="49" t="s">
        <v>33</v>
      </c>
    </row>
    <row r="67" spans="1:60" s="116" customFormat="1" ht="15" customHeight="1">
      <c r="B67" s="133"/>
      <c r="D67" s="50"/>
      <c r="E67" s="50"/>
    </row>
    <row r="68" spans="1:60" ht="15.75" customHeight="1">
      <c r="A68" s="98">
        <v>2710488</v>
      </c>
      <c r="B68" s="132" t="s">
        <v>362</v>
      </c>
      <c r="C68" s="62" t="s">
        <v>253</v>
      </c>
      <c r="D68" s="60" t="s">
        <v>280</v>
      </c>
      <c r="E68" s="60" t="s">
        <v>263</v>
      </c>
      <c r="F68" s="63"/>
      <c r="G68" s="142">
        <v>0</v>
      </c>
      <c r="H68" s="142">
        <v>0</v>
      </c>
      <c r="I68" s="142">
        <v>0</v>
      </c>
      <c r="J68" s="142">
        <v>0</v>
      </c>
      <c r="K68" s="142">
        <v>0</v>
      </c>
      <c r="L68" s="142">
        <v>5</v>
      </c>
      <c r="M68" s="141">
        <v>0.3</v>
      </c>
      <c r="N68" s="142">
        <v>0</v>
      </c>
      <c r="O68" s="142">
        <v>0.4</v>
      </c>
      <c r="P68" s="142">
        <v>0.01</v>
      </c>
      <c r="Q68" s="142">
        <v>0</v>
      </c>
      <c r="R68" s="142">
        <v>0</v>
      </c>
      <c r="S68" s="142">
        <v>1</v>
      </c>
      <c r="T68" s="142">
        <v>1E-3</v>
      </c>
      <c r="U68" s="142">
        <v>0</v>
      </c>
      <c r="V68" s="142">
        <v>5</v>
      </c>
      <c r="W68" s="142">
        <v>0</v>
      </c>
      <c r="X68" s="142">
        <v>0</v>
      </c>
      <c r="Y68" s="142">
        <v>0.02</v>
      </c>
      <c r="Z68" s="142">
        <v>0</v>
      </c>
      <c r="AA68" s="142">
        <v>0</v>
      </c>
      <c r="AB68" s="142">
        <v>0</v>
      </c>
      <c r="AC68" s="142">
        <v>0</v>
      </c>
      <c r="AD68" s="142">
        <v>3</v>
      </c>
      <c r="AE68" s="142">
        <v>0</v>
      </c>
      <c r="AF68" s="142">
        <v>0</v>
      </c>
      <c r="AG68" s="142">
        <v>0</v>
      </c>
      <c r="AH68" s="142"/>
      <c r="AI68" s="142">
        <v>0</v>
      </c>
      <c r="AJ68" s="142">
        <v>0</v>
      </c>
      <c r="AK68" s="142">
        <v>1</v>
      </c>
      <c r="AL68" s="142">
        <v>37</v>
      </c>
      <c r="AM68" s="142">
        <v>0</v>
      </c>
      <c r="AN68" s="141">
        <v>0</v>
      </c>
      <c r="AO68" s="142">
        <v>0</v>
      </c>
      <c r="AP68" s="142">
        <v>1.4E-2</v>
      </c>
      <c r="AQ68" s="142">
        <v>0</v>
      </c>
      <c r="AR68" s="142">
        <v>0</v>
      </c>
      <c r="AS68" s="142">
        <v>3</v>
      </c>
      <c r="AT68" s="142">
        <v>0</v>
      </c>
      <c r="AU68" s="142">
        <v>0</v>
      </c>
      <c r="AV68" s="142">
        <v>0</v>
      </c>
      <c r="AW68" s="142">
        <v>0</v>
      </c>
      <c r="AX68" s="142">
        <v>0</v>
      </c>
      <c r="AY68" s="142">
        <v>0</v>
      </c>
      <c r="AZ68" s="142">
        <v>0</v>
      </c>
      <c r="BA68" s="142">
        <v>0</v>
      </c>
      <c r="BB68" s="142">
        <v>0</v>
      </c>
      <c r="BC68" s="142">
        <v>0</v>
      </c>
      <c r="BD68" s="142">
        <v>0</v>
      </c>
      <c r="BE68" s="142">
        <v>0</v>
      </c>
      <c r="BF68" s="142">
        <v>0</v>
      </c>
      <c r="BG68" s="142">
        <v>0.02</v>
      </c>
      <c r="BH68" s="44" t="str">
        <f t="shared" ref="BH68" si="4">"new food('"&amp;B68&amp;"','"&amp;C68&amp;"','"&amp;D68&amp;"','"&amp;E68&amp;"','"&amp;F68&amp;"','"&amp;G68&amp;"','"&amp;H68&amp;"','"&amp;I68&amp;"','"&amp;J68&amp;"','"&amp;K68&amp;"','"&amp;L68&amp;"','"&amp;M68&amp;"','"&amp;N68&amp;"','"&amp;O68&amp;"','"&amp;P68&amp;"','"&amp;Q68&amp;"','"&amp;R68&amp;"','"&amp;S68&amp;"','"&amp;T68&amp;"','"&amp;U68&amp;"','"&amp;V68&amp;"','"&amp;W68&amp;"','"&amp;X68&amp;"','"&amp;Y68&amp;"','"&amp;Z68&amp;"','"&amp;AA68&amp;"','"&amp;AB68&amp;"','"&amp;AC68&amp;"','"&amp;AD68&amp;"','"&amp;AE68&amp;"','"&amp;AF68&amp;"','"&amp;AG68&amp;"','"&amp;AI68&amp;"','"&amp;AJ68&amp;"','"&amp;AK68&amp;"','"&amp;AL68&amp;"','"&amp;AM68&amp;"','"&amp;AN68&amp;"','"&amp;AO68&amp;"','"&amp;AP68&amp;"','"&amp;AQ68&amp;"','"&amp;AR68&amp;"','"&amp;AS68&amp;"','"&amp;AT68&amp;"','"&amp;AU68&amp;"','"&amp;AV68&amp;"','"&amp;AW68&amp;"','"&amp;AX68&amp;"','"&amp;AY68&amp;"','"&amp;AZ68&amp;"','"&amp;BA68&amp;"','"&amp;BB68&amp;"','"&amp;BC68&amp;"','"&amp;BD68&amp;"','"&amp;BE68&amp;"','"&amp;BF68&amp;"','"&amp;BG68&amp;"'),"</f>
        <v>new food('n','Tea black brewed','Bev','1cup','','0','0','0','0','0','5','0.3','0','0.4','0.01','0','0','1','0.001','0','5','0','0','0.02','0','0','0','0','3','0','0','0','0','0','1','37','0','0','0','0.014','0','0','3','0','0','0','0','0','0','0','0','0','0','0','0','0','0.02'),</v>
      </c>
    </row>
    <row r="69" spans="1:60" s="116" customFormat="1" ht="15" customHeight="1">
      <c r="B69" s="133"/>
      <c r="C69" s="116" t="s">
        <v>393</v>
      </c>
      <c r="D69" s="50"/>
      <c r="E69" s="50"/>
      <c r="G69"/>
      <c r="H69"/>
      <c r="I69" s="116">
        <v>0.06</v>
      </c>
      <c r="J69"/>
      <c r="L69" s="116">
        <v>2</v>
      </c>
      <c r="M69" s="116">
        <v>0.17</v>
      </c>
      <c r="O69" s="116">
        <v>0</v>
      </c>
      <c r="P69" s="116">
        <v>5.0000000000000001E-3</v>
      </c>
      <c r="Q69" s="116">
        <v>0</v>
      </c>
      <c r="S69" s="116">
        <v>2</v>
      </c>
      <c r="U69" s="116">
        <v>0</v>
      </c>
      <c r="V69" s="116">
        <v>0</v>
      </c>
      <c r="W69"/>
      <c r="Y69" s="116">
        <v>0.2</v>
      </c>
      <c r="AB69" s="116">
        <v>0</v>
      </c>
      <c r="AD69" s="116">
        <v>4</v>
      </c>
      <c r="AE69" s="116">
        <v>3.2000000000000001E-2</v>
      </c>
      <c r="AG69" s="116">
        <v>0.8</v>
      </c>
      <c r="AI69" s="116">
        <v>0</v>
      </c>
      <c r="AK69" s="116">
        <v>3</v>
      </c>
      <c r="AL69" s="116">
        <v>50</v>
      </c>
      <c r="AN69" s="116">
        <v>0.3</v>
      </c>
      <c r="AO69" s="116">
        <v>0</v>
      </c>
      <c r="AP69" s="116">
        <v>0</v>
      </c>
      <c r="AQ69" s="116">
        <v>0</v>
      </c>
      <c r="AS69" s="116">
        <v>1</v>
      </c>
      <c r="AT69" s="116">
        <v>0</v>
      </c>
      <c r="AU69" s="116">
        <v>0.02</v>
      </c>
      <c r="AV69"/>
      <c r="AW69" s="116">
        <v>0</v>
      </c>
      <c r="AX69"/>
      <c r="AZ69"/>
      <c r="BA69" s="116">
        <v>0</v>
      </c>
      <c r="BB69" s="116">
        <v>0</v>
      </c>
      <c r="BC69" s="116">
        <v>0</v>
      </c>
      <c r="BD69" s="116">
        <v>0</v>
      </c>
      <c r="BE69" s="116">
        <v>0</v>
      </c>
      <c r="BF69" s="116">
        <v>0</v>
      </c>
      <c r="BG69" s="116">
        <v>0.02</v>
      </c>
    </row>
    <row r="70" spans="1:60" s="116" customFormat="1" ht="15" customHeight="1">
      <c r="B70" s="133"/>
      <c r="D70" s="50"/>
      <c r="E70" s="50"/>
      <c r="L70" s="116">
        <v>2</v>
      </c>
      <c r="O70" s="116">
        <v>2.6</v>
      </c>
      <c r="P70" s="116">
        <v>2E-3</v>
      </c>
      <c r="V70">
        <v>2</v>
      </c>
      <c r="Y70" s="116">
        <v>0.01</v>
      </c>
      <c r="AD70" s="116">
        <v>3</v>
      </c>
      <c r="AG70" s="116">
        <v>0.191</v>
      </c>
      <c r="AK70" s="116">
        <v>3</v>
      </c>
      <c r="AL70" s="116">
        <v>49</v>
      </c>
      <c r="AN70" s="116">
        <v>0.12</v>
      </c>
      <c r="AO70"/>
      <c r="AP70" s="116">
        <v>7.5999999999999998E-2</v>
      </c>
      <c r="AS70" s="116">
        <v>2</v>
      </c>
      <c r="AU70" s="116">
        <v>1.4E-2</v>
      </c>
      <c r="AX70"/>
      <c r="AY70"/>
      <c r="AZ70"/>
      <c r="BA70"/>
      <c r="BB70">
        <v>1E-3</v>
      </c>
      <c r="BF70" s="116">
        <v>0.1</v>
      </c>
      <c r="BG70" s="116">
        <v>0.02</v>
      </c>
    </row>
    <row r="71" spans="1:60" s="116" customFormat="1" ht="15" customHeight="1">
      <c r="B71" s="133"/>
      <c r="D71" s="50"/>
      <c r="E71" s="50"/>
      <c r="V71"/>
      <c r="AO71"/>
      <c r="AP71"/>
      <c r="AX71"/>
      <c r="AY71"/>
      <c r="AZ71"/>
      <c r="BA71"/>
      <c r="BB71"/>
    </row>
    <row r="72" spans="1:60" s="116" customFormat="1" ht="15" customHeight="1">
      <c r="B72" s="133"/>
      <c r="D72" s="50"/>
      <c r="E72" s="50"/>
      <c r="V72"/>
      <c r="AO72"/>
      <c r="AP72"/>
      <c r="AX72"/>
      <c r="AY72"/>
      <c r="AZ72"/>
      <c r="BA72"/>
      <c r="BB72"/>
    </row>
    <row r="73" spans="1:60" s="116" customFormat="1" ht="15" customHeight="1">
      <c r="B73" s="133"/>
      <c r="D73" s="50"/>
      <c r="E73" s="50"/>
      <c r="V73"/>
      <c r="AO73"/>
      <c r="AP73"/>
      <c r="AX73"/>
      <c r="AY73"/>
    </row>
    <row r="74" spans="1:60" s="116" customFormat="1" ht="15" customHeight="1">
      <c r="B74" s="133"/>
      <c r="D74" s="50"/>
      <c r="E74" s="50"/>
      <c r="V74"/>
      <c r="AO74"/>
      <c r="AP74"/>
      <c r="AX74"/>
      <c r="AY74"/>
    </row>
    <row r="75" spans="1:60" s="116" customFormat="1" ht="15" customHeight="1">
      <c r="B75" s="133"/>
      <c r="D75" s="50"/>
      <c r="E75" s="50"/>
      <c r="V75"/>
      <c r="AO75"/>
      <c r="AP75"/>
      <c r="AX75"/>
      <c r="AY75"/>
    </row>
    <row r="76" spans="1:60" s="116" customFormat="1" ht="15" customHeight="1">
      <c r="B76" s="133"/>
      <c r="D76" s="50"/>
      <c r="E76" s="50"/>
      <c r="V76"/>
      <c r="AO76"/>
      <c r="AP76"/>
      <c r="AX76"/>
      <c r="AY76"/>
    </row>
    <row r="77" spans="1:60" s="116" customFormat="1" ht="15" customHeight="1">
      <c r="B77" s="133"/>
      <c r="D77" s="50"/>
      <c r="E77" s="50"/>
      <c r="V77"/>
      <c r="AO77"/>
      <c r="AP77"/>
      <c r="AX77"/>
      <c r="AY77"/>
    </row>
    <row r="78" spans="1:60" s="116" customFormat="1" ht="15" customHeight="1">
      <c r="B78" s="133"/>
      <c r="D78" s="50"/>
      <c r="E78" s="50"/>
      <c r="T78"/>
      <c r="U78"/>
      <c r="V78"/>
      <c r="AO78"/>
      <c r="AP78"/>
      <c r="AX78"/>
      <c r="AY78"/>
    </row>
    <row r="79" spans="1:60" s="116" customFormat="1" ht="15" customHeight="1">
      <c r="B79" s="133"/>
      <c r="D79" s="50"/>
      <c r="E79" s="50"/>
      <c r="T79" s="44"/>
      <c r="U79" s="44"/>
      <c r="V79"/>
      <c r="AO79"/>
      <c r="AP79"/>
      <c r="AX79"/>
      <c r="AY79"/>
    </row>
    <row r="80" spans="1:60" s="116" customFormat="1" ht="15" customHeight="1">
      <c r="B80" s="133"/>
      <c r="D80" s="50"/>
      <c r="E80" s="50"/>
      <c r="T80" s="44"/>
      <c r="U80" s="44"/>
      <c r="V80"/>
      <c r="AO80"/>
      <c r="AP80"/>
      <c r="AX80"/>
      <c r="AY80"/>
    </row>
    <row r="81" spans="2:51" s="116" customFormat="1" ht="15" customHeight="1">
      <c r="B81" s="133"/>
      <c r="D81" s="50"/>
      <c r="E81" s="50"/>
      <c r="T81" s="44"/>
      <c r="U81" s="44"/>
      <c r="V81"/>
      <c r="AO81" s="44"/>
      <c r="AP81" s="44"/>
      <c r="AX81"/>
      <c r="AY81"/>
    </row>
    <row r="82" spans="2:51" s="116" customFormat="1" ht="15" customHeight="1">
      <c r="B82" s="133"/>
      <c r="D82" s="50"/>
      <c r="E82" s="50"/>
      <c r="T82" s="44"/>
      <c r="U82" s="44"/>
      <c r="V82"/>
      <c r="AX82"/>
      <c r="AY82"/>
    </row>
    <row r="83" spans="2:51" s="116" customFormat="1" ht="15" customHeight="1">
      <c r="B83" s="133"/>
      <c r="D83" s="50"/>
      <c r="E83" s="50"/>
      <c r="T83" s="44"/>
      <c r="U83" s="44"/>
      <c r="V83"/>
      <c r="AX83"/>
      <c r="AY83"/>
    </row>
    <row r="84" spans="2:51" s="116" customFormat="1" ht="15" customHeight="1">
      <c r="B84" s="133"/>
      <c r="D84" s="50"/>
      <c r="E84" s="50"/>
      <c r="T84" s="44"/>
      <c r="U84" s="44"/>
      <c r="V84"/>
      <c r="AX84"/>
      <c r="AY84"/>
    </row>
    <row r="85" spans="2:51" s="116" customFormat="1" ht="15" customHeight="1">
      <c r="B85" s="133"/>
      <c r="D85" s="50"/>
      <c r="E85" s="50"/>
      <c r="T85" s="44"/>
      <c r="U85" s="44"/>
      <c r="V85"/>
      <c r="AX85"/>
      <c r="AY85"/>
    </row>
    <row r="86" spans="2:51" s="116" customFormat="1" ht="15" customHeight="1">
      <c r="B86" s="133"/>
      <c r="D86" s="50"/>
      <c r="E86" s="50"/>
      <c r="L86"/>
      <c r="M86"/>
      <c r="N86"/>
      <c r="T86" s="44"/>
      <c r="U86" s="44"/>
      <c r="V86"/>
      <c r="AX86"/>
      <c r="AY86"/>
    </row>
    <row r="87" spans="2:51" s="116" customFormat="1" ht="15" customHeight="1">
      <c r="B87" s="133"/>
      <c r="D87" s="50"/>
      <c r="E87" s="50"/>
      <c r="L87" s="44"/>
      <c r="M87" s="44"/>
      <c r="N87" s="44"/>
      <c r="T87" s="44"/>
      <c r="U87" s="44"/>
      <c r="V87"/>
      <c r="AX87"/>
      <c r="AY87"/>
    </row>
    <row r="88" spans="2:51" s="116" customFormat="1" ht="15" customHeight="1">
      <c r="B88" s="133"/>
      <c r="D88" s="50"/>
      <c r="E88" s="50"/>
      <c r="L88" s="44"/>
      <c r="M88" s="44"/>
      <c r="N88" s="44"/>
      <c r="T88" s="44"/>
      <c r="U88" s="44"/>
      <c r="V88"/>
      <c r="AX88"/>
      <c r="AY88"/>
    </row>
    <row r="89" spans="2:51" s="116" customFormat="1" ht="15" customHeight="1">
      <c r="B89" s="133"/>
      <c r="D89" s="50"/>
      <c r="E89" s="50"/>
      <c r="L89" s="44"/>
      <c r="M89" s="44"/>
      <c r="N89" s="44"/>
      <c r="T89" s="44"/>
      <c r="U89" s="44"/>
      <c r="V89"/>
      <c r="AX89"/>
      <c r="AY89"/>
    </row>
    <row r="90" spans="2:51" s="116" customFormat="1" ht="15" customHeight="1">
      <c r="B90" s="133"/>
      <c r="D90" s="50"/>
      <c r="E90" s="50"/>
      <c r="L90" s="44"/>
      <c r="M90" s="44"/>
      <c r="N90" s="44"/>
      <c r="T90" s="44"/>
      <c r="U90" s="44"/>
      <c r="V90"/>
      <c r="AX90"/>
      <c r="AY90"/>
    </row>
    <row r="91" spans="2:51" s="116" customFormat="1" ht="15" customHeight="1">
      <c r="B91" s="133"/>
      <c r="D91" s="50"/>
      <c r="E91" s="50"/>
      <c r="L91" s="44"/>
      <c r="M91" s="44"/>
      <c r="N91" s="44"/>
      <c r="T91" s="44"/>
      <c r="U91" s="44"/>
      <c r="V91"/>
      <c r="AX91"/>
      <c r="AY91"/>
    </row>
    <row r="92" spans="2:51" s="116" customFormat="1" ht="15" customHeight="1">
      <c r="B92" s="133"/>
      <c r="D92" s="50"/>
      <c r="E92" s="50"/>
      <c r="L92" s="44"/>
      <c r="M92" s="44"/>
      <c r="N92" s="44"/>
      <c r="T92" s="44"/>
      <c r="U92" s="44"/>
      <c r="V92"/>
      <c r="AX92"/>
      <c r="AY92"/>
    </row>
    <row r="93" spans="2:51" s="116" customFormat="1" ht="15" customHeight="1">
      <c r="B93" s="133"/>
      <c r="D93" s="50"/>
      <c r="E93" s="50"/>
      <c r="L93" s="44"/>
      <c r="M93" s="44"/>
      <c r="N93" s="44"/>
      <c r="T93" s="44"/>
      <c r="U93" s="44"/>
      <c r="V93"/>
      <c r="AX93"/>
      <c r="AY93"/>
    </row>
    <row r="94" spans="2:51" s="116" customFormat="1" ht="15" customHeight="1">
      <c r="B94" s="133"/>
      <c r="D94" s="50"/>
      <c r="E94" s="50"/>
      <c r="L94" s="44"/>
      <c r="M94" s="44"/>
      <c r="N94" s="44"/>
      <c r="T94" s="44"/>
      <c r="U94" s="44"/>
      <c r="V94"/>
      <c r="AX94"/>
      <c r="AY94"/>
    </row>
    <row r="95" spans="2:51" s="116" customFormat="1" ht="15" customHeight="1">
      <c r="B95" s="133"/>
      <c r="D95" s="50"/>
      <c r="E95" s="50"/>
      <c r="L95" s="44"/>
      <c r="M95" s="44"/>
      <c r="N95" s="44"/>
      <c r="T95" s="44"/>
      <c r="U95" s="44"/>
      <c r="V95"/>
      <c r="AX95"/>
      <c r="AY95"/>
    </row>
    <row r="96" spans="2:51" s="116" customFormat="1" ht="15" customHeight="1">
      <c r="B96" s="133"/>
      <c r="D96" s="50"/>
      <c r="E96" s="50"/>
      <c r="L96" s="44"/>
      <c r="M96" s="44"/>
      <c r="N96" s="44"/>
      <c r="T96" s="44"/>
      <c r="U96" s="44"/>
      <c r="V96"/>
      <c r="AX96"/>
      <c r="AY96"/>
    </row>
    <row r="97" spans="2:51" s="116" customFormat="1" ht="15" customHeight="1">
      <c r="B97" s="133"/>
      <c r="D97" s="50"/>
      <c r="E97" s="50"/>
      <c r="L97" s="44"/>
      <c r="M97" s="44"/>
      <c r="N97" s="44"/>
      <c r="T97" s="44"/>
      <c r="U97" s="44"/>
      <c r="V97"/>
      <c r="AX97"/>
      <c r="AY97"/>
    </row>
    <row r="98" spans="2:51" s="116" customFormat="1" ht="15" customHeight="1">
      <c r="B98" s="133"/>
      <c r="D98" s="50"/>
      <c r="E98" s="50"/>
      <c r="L98" s="44"/>
      <c r="M98" s="44"/>
      <c r="N98" s="44"/>
      <c r="T98" s="44"/>
      <c r="U98" s="44"/>
      <c r="V98"/>
    </row>
    <row r="99" spans="2:51" s="116" customFormat="1" ht="15" customHeight="1">
      <c r="B99" s="133"/>
      <c r="D99" s="50"/>
      <c r="E99" s="50"/>
      <c r="L99" s="44"/>
      <c r="M99" s="44"/>
      <c r="N99" s="44"/>
      <c r="T99" s="44"/>
      <c r="U99" s="44"/>
      <c r="V99"/>
    </row>
    <row r="100" spans="2:51" s="116" customFormat="1" ht="15" customHeight="1">
      <c r="B100" s="133"/>
      <c r="D100" s="50"/>
      <c r="E100" s="50"/>
      <c r="L100" s="44"/>
      <c r="M100" s="44"/>
      <c r="N100" s="44"/>
      <c r="T100" s="44"/>
      <c r="U100" s="44"/>
      <c r="V100"/>
    </row>
    <row r="101" spans="2:51" s="116" customFormat="1" ht="15" customHeight="1">
      <c r="B101" s="133"/>
      <c r="D101" s="50"/>
      <c r="E101" s="50"/>
      <c r="L101" s="44"/>
      <c r="M101" s="44"/>
      <c r="N101" s="44"/>
      <c r="T101" s="44"/>
      <c r="U101" s="44"/>
      <c r="V101"/>
    </row>
    <row r="102" spans="2:51" s="116" customFormat="1" ht="15" customHeight="1">
      <c r="B102" s="133"/>
      <c r="D102" s="50"/>
      <c r="E102" s="50"/>
      <c r="L102" s="44"/>
      <c r="M102" s="44"/>
      <c r="N102" s="44"/>
      <c r="T102" s="44"/>
      <c r="U102" s="44"/>
      <c r="V102"/>
      <c r="AN102" s="46">
        <v>0</v>
      </c>
      <c r="AO102" s="46">
        <v>0</v>
      </c>
      <c r="AP102" s="46">
        <v>0</v>
      </c>
    </row>
    <row r="103" spans="2:51" s="116" customFormat="1" ht="15" customHeight="1">
      <c r="B103" s="133"/>
      <c r="D103" s="50"/>
      <c r="E103" s="50"/>
      <c r="L103" s="44"/>
      <c r="M103" s="44"/>
      <c r="N103" s="44"/>
      <c r="T103" s="44"/>
      <c r="U103" s="44"/>
      <c r="V103"/>
      <c r="AN103" s="116">
        <f t="shared" ref="AN103:BE117" si="5">AN102/4</f>
        <v>0</v>
      </c>
      <c r="AO103" s="116">
        <f t="shared" si="5"/>
        <v>0</v>
      </c>
      <c r="AP103" s="116">
        <f t="shared" si="5"/>
        <v>0</v>
      </c>
    </row>
    <row r="104" spans="2:51" s="116" customFormat="1" ht="15" customHeight="1">
      <c r="B104" s="133"/>
      <c r="D104" s="50"/>
      <c r="E104" s="50"/>
      <c r="L104" s="44"/>
      <c r="M104" s="44"/>
      <c r="N104" s="44"/>
      <c r="T104" s="44"/>
      <c r="U104" s="44"/>
      <c r="V104"/>
      <c r="AN104" s="116">
        <v>0</v>
      </c>
      <c r="AO104" s="116">
        <v>0</v>
      </c>
      <c r="AP104" s="116">
        <v>0</v>
      </c>
    </row>
    <row r="105" spans="2:51" s="116" customFormat="1" ht="15" customHeight="1">
      <c r="B105" s="133"/>
      <c r="D105" s="50"/>
      <c r="E105" s="50"/>
      <c r="L105" s="44"/>
      <c r="M105" s="44"/>
      <c r="N105" s="44"/>
      <c r="T105" s="44"/>
      <c r="U105" s="44"/>
      <c r="V105"/>
    </row>
    <row r="106" spans="2:51" s="116" customFormat="1" ht="15" customHeight="1">
      <c r="B106" s="133"/>
      <c r="L106" s="44"/>
      <c r="M106" s="44"/>
      <c r="N106" s="44"/>
      <c r="T106" s="44"/>
      <c r="U106" s="44"/>
      <c r="V106"/>
    </row>
    <row r="107" spans="2:51" s="116" customFormat="1" ht="15" customHeight="1">
      <c r="B107" s="133"/>
      <c r="L107" s="44"/>
      <c r="M107" s="44"/>
      <c r="N107" s="44"/>
      <c r="T107" s="44"/>
      <c r="U107" s="44"/>
      <c r="V107"/>
    </row>
    <row r="108" spans="2:51" s="116" customFormat="1" ht="15" customHeight="1">
      <c r="B108" s="133"/>
      <c r="L108" s="44"/>
      <c r="M108" s="44"/>
      <c r="N108" s="44"/>
      <c r="T108" s="44"/>
      <c r="U108" s="44"/>
      <c r="V108"/>
    </row>
    <row r="109" spans="2:51" s="116" customFormat="1" ht="15" customHeight="1">
      <c r="B109" s="133"/>
      <c r="L109" s="44"/>
      <c r="M109" s="44"/>
      <c r="N109" s="44"/>
      <c r="T109" s="44"/>
      <c r="U109" s="44"/>
      <c r="V109"/>
    </row>
    <row r="110" spans="2:51" s="116" customFormat="1" ht="15" customHeight="1">
      <c r="B110" s="133"/>
      <c r="L110" s="44"/>
      <c r="M110" s="44"/>
      <c r="N110" s="44"/>
      <c r="T110" s="44"/>
      <c r="U110" s="44"/>
      <c r="V110"/>
    </row>
    <row r="111" spans="2:51" s="116" customFormat="1" ht="15" customHeight="1">
      <c r="B111" s="133"/>
      <c r="L111" s="44"/>
      <c r="M111" s="44"/>
      <c r="N111" s="44"/>
      <c r="T111" s="44"/>
      <c r="U111" s="44"/>
      <c r="V111"/>
    </row>
    <row r="112" spans="2:51" s="116" customFormat="1" ht="15" customHeight="1">
      <c r="B112" s="133"/>
      <c r="L112" s="44"/>
      <c r="M112" s="44"/>
      <c r="N112" s="44"/>
      <c r="T112" s="44"/>
      <c r="U112" s="44"/>
      <c r="V112"/>
    </row>
    <row r="113" spans="2:57" s="116" customFormat="1" ht="15" customHeight="1">
      <c r="B113" s="133"/>
      <c r="L113" s="44"/>
      <c r="M113" s="44"/>
      <c r="N113" s="44"/>
      <c r="T113" s="44"/>
      <c r="U113" s="44"/>
      <c r="V113"/>
    </row>
    <row r="114" spans="2:57" s="116" customFormat="1" ht="15" customHeight="1">
      <c r="B114" s="133"/>
      <c r="L114" s="44"/>
      <c r="M114" s="44"/>
      <c r="N114" s="44"/>
      <c r="T114" s="44"/>
      <c r="U114" s="44"/>
      <c r="V114"/>
    </row>
    <row r="115" spans="2:57" s="116" customFormat="1" ht="15" customHeight="1">
      <c r="B115" s="133"/>
      <c r="L115" s="44"/>
      <c r="M115" s="44"/>
      <c r="N115" s="44"/>
      <c r="T115" s="44"/>
      <c r="U115" s="44"/>
      <c r="V115"/>
    </row>
    <row r="116" spans="2:57" s="116" customFormat="1" ht="15" customHeight="1">
      <c r="B116" s="133"/>
      <c r="F116" s="62"/>
      <c r="G116" s="46"/>
      <c r="H116" s="46"/>
      <c r="I116" s="44"/>
      <c r="J116" s="46"/>
      <c r="K116" s="46"/>
      <c r="L116" s="44"/>
      <c r="M116" s="44"/>
      <c r="N116" s="44"/>
      <c r="O116" s="46"/>
      <c r="P116" s="46"/>
      <c r="Q116" s="46"/>
      <c r="R116" s="46"/>
      <c r="S116" s="46"/>
      <c r="T116" s="44"/>
      <c r="U116" s="44"/>
      <c r="V11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Q116" s="46">
        <v>0</v>
      </c>
      <c r="AR116" s="46">
        <v>0</v>
      </c>
      <c r="AS116" s="46">
        <v>0</v>
      </c>
      <c r="AT116" s="46">
        <v>0</v>
      </c>
      <c r="AU116" s="46">
        <v>0</v>
      </c>
      <c r="AV116" s="46">
        <v>0</v>
      </c>
      <c r="AW116" s="46">
        <v>0</v>
      </c>
      <c r="AX116" s="46">
        <v>0</v>
      </c>
      <c r="AY116" s="46">
        <v>0</v>
      </c>
      <c r="AZ116" s="46">
        <v>0</v>
      </c>
      <c r="BA116" s="46">
        <v>0</v>
      </c>
      <c r="BB116" s="46">
        <v>0</v>
      </c>
      <c r="BC116" s="46">
        <v>0</v>
      </c>
      <c r="BD116" s="46">
        <v>0</v>
      </c>
      <c r="BE116" s="46">
        <v>23</v>
      </c>
    </row>
    <row r="117" spans="2:57" s="116" customFormat="1" ht="15" customHeight="1">
      <c r="B117" s="133"/>
      <c r="L117" s="44"/>
      <c r="M117" s="44"/>
      <c r="N117" s="44"/>
      <c r="T117" s="44"/>
      <c r="U117" s="44"/>
      <c r="V117"/>
      <c r="AQ117" s="116">
        <f t="shared" si="5"/>
        <v>0</v>
      </c>
      <c r="AR117" s="116">
        <f t="shared" si="5"/>
        <v>0</v>
      </c>
      <c r="AS117" s="116">
        <f t="shared" si="5"/>
        <v>0</v>
      </c>
      <c r="AT117" s="116">
        <f t="shared" si="5"/>
        <v>0</v>
      </c>
      <c r="AU117" s="116">
        <f t="shared" si="5"/>
        <v>0</v>
      </c>
      <c r="AV117" s="116">
        <f t="shared" si="5"/>
        <v>0</v>
      </c>
      <c r="AW117" s="116">
        <f t="shared" si="5"/>
        <v>0</v>
      </c>
      <c r="AX117" s="116">
        <f t="shared" si="5"/>
        <v>0</v>
      </c>
      <c r="AY117" s="116">
        <f t="shared" si="5"/>
        <v>0</v>
      </c>
      <c r="AZ117" s="116">
        <f t="shared" si="5"/>
        <v>0</v>
      </c>
      <c r="BA117" s="116">
        <f t="shared" si="5"/>
        <v>0</v>
      </c>
      <c r="BB117" s="116">
        <f t="shared" si="5"/>
        <v>0</v>
      </c>
      <c r="BC117" s="116">
        <f t="shared" si="5"/>
        <v>0</v>
      </c>
      <c r="BD117" s="116">
        <f t="shared" si="5"/>
        <v>0</v>
      </c>
      <c r="BE117" s="116">
        <f t="shared" si="5"/>
        <v>5.75</v>
      </c>
    </row>
    <row r="118" spans="2:57" s="116" customFormat="1" ht="15" customHeight="1">
      <c r="B118" s="133"/>
      <c r="L118" s="44"/>
      <c r="M118" s="44"/>
      <c r="N118" s="44"/>
      <c r="T118" s="44"/>
      <c r="U118" s="44"/>
      <c r="V118"/>
      <c r="AQ118" s="116">
        <v>0</v>
      </c>
      <c r="AR118" s="116">
        <v>0</v>
      </c>
      <c r="AS118" s="116">
        <v>0</v>
      </c>
      <c r="AT118" s="116">
        <v>0</v>
      </c>
      <c r="AU118" s="116">
        <v>0</v>
      </c>
      <c r="AV118" s="116">
        <v>0</v>
      </c>
      <c r="AW118" s="116">
        <v>0</v>
      </c>
      <c r="AX118" s="116">
        <v>0</v>
      </c>
      <c r="AY118" s="116">
        <v>0</v>
      </c>
      <c r="AZ118" s="116">
        <v>0</v>
      </c>
      <c r="BA118" s="116">
        <v>0</v>
      </c>
      <c r="BB118" s="116">
        <v>0</v>
      </c>
      <c r="BC118" s="116">
        <v>0</v>
      </c>
      <c r="BD118" s="116">
        <v>0</v>
      </c>
      <c r="BE118" s="116">
        <v>5.75</v>
      </c>
    </row>
    <row r="119" spans="2:57" s="116" customFormat="1" ht="15" customHeight="1">
      <c r="B119" s="133"/>
      <c r="L119" s="44"/>
      <c r="M119" s="44"/>
      <c r="N119" s="44"/>
      <c r="T119" s="44"/>
      <c r="U119" s="44"/>
      <c r="V119"/>
      <c r="AN119" s="44"/>
      <c r="AO119" s="44"/>
      <c r="AP119" s="44"/>
    </row>
    <row r="120" spans="2:57" s="116" customFormat="1" ht="15" customHeight="1">
      <c r="B120" s="133"/>
      <c r="L120" s="44"/>
      <c r="M120" s="44"/>
      <c r="N120" s="44"/>
      <c r="T120" s="44"/>
      <c r="U120" s="44"/>
      <c r="V120"/>
      <c r="AN120" s="44"/>
      <c r="AO120" s="44"/>
      <c r="AP120" s="44"/>
    </row>
    <row r="121" spans="2:57" s="116" customFormat="1" ht="15" customHeight="1">
      <c r="B121" s="133"/>
      <c r="L121" s="44"/>
      <c r="M121" s="44"/>
      <c r="N121" s="44"/>
      <c r="T121" s="44"/>
      <c r="U121" s="44"/>
      <c r="V121"/>
      <c r="AN121" s="44"/>
      <c r="AO121" s="44"/>
      <c r="AP121" s="44"/>
    </row>
    <row r="122" spans="2:57" s="116" customFormat="1" ht="15" customHeight="1">
      <c r="B122" s="133"/>
      <c r="L122" s="44"/>
      <c r="M122" s="44"/>
      <c r="N122" s="44"/>
      <c r="T122" s="44"/>
      <c r="U122" s="44"/>
      <c r="V122"/>
      <c r="AN122" s="44"/>
      <c r="AO122" s="44"/>
      <c r="AP122" s="44"/>
    </row>
    <row r="123" spans="2:57" s="116" customFormat="1" ht="15" customHeight="1">
      <c r="B123" s="133"/>
      <c r="L123" s="44"/>
      <c r="M123" s="44"/>
      <c r="N123" s="44"/>
      <c r="T123" s="44"/>
      <c r="U123" s="44"/>
      <c r="V123"/>
      <c r="AN123" s="44"/>
      <c r="AO123" s="44"/>
      <c r="AP123" s="44"/>
    </row>
    <row r="124" spans="2:57" s="116" customFormat="1" ht="15" customHeight="1">
      <c r="B124" s="133"/>
      <c r="L124" s="44"/>
      <c r="M124" s="44"/>
      <c r="N124" s="44"/>
      <c r="T124" s="44"/>
      <c r="U124" s="44"/>
      <c r="V124"/>
      <c r="AN124" s="44"/>
      <c r="AO124" s="44"/>
      <c r="AP124" s="44"/>
    </row>
    <row r="125" spans="2:57" s="116" customFormat="1" ht="15" customHeight="1">
      <c r="B125" s="133"/>
      <c r="L125" s="44"/>
      <c r="M125" s="44"/>
      <c r="N125" s="44"/>
      <c r="T125" s="44"/>
      <c r="U125" s="44"/>
      <c r="V125"/>
      <c r="AN125" s="44"/>
      <c r="AO125" s="44"/>
      <c r="AP125" s="44"/>
    </row>
    <row r="126" spans="2:57" s="116" customFormat="1" ht="15" customHeight="1">
      <c r="B126" s="133"/>
      <c r="L126" s="44"/>
      <c r="M126" s="44"/>
      <c r="N126" s="44"/>
      <c r="T126" s="44"/>
      <c r="U126" s="44"/>
      <c r="V126"/>
      <c r="AN126" s="44"/>
      <c r="AO126" s="44"/>
      <c r="AP126" s="44"/>
    </row>
    <row r="127" spans="2:57" s="116" customFormat="1" ht="15" customHeight="1">
      <c r="B127" s="133"/>
      <c r="L127" s="44"/>
      <c r="M127" s="44"/>
      <c r="N127" s="44"/>
      <c r="T127" s="44"/>
      <c r="U127" s="44"/>
      <c r="V127"/>
      <c r="AN127" s="44"/>
      <c r="AO127" s="44"/>
      <c r="AP127" s="44"/>
    </row>
    <row r="128" spans="2:57" s="116" customFormat="1" ht="15" customHeight="1">
      <c r="B128" s="133"/>
      <c r="L128" s="44"/>
      <c r="M128" s="44"/>
      <c r="N128" s="44"/>
      <c r="T128" s="44"/>
      <c r="U128" s="44"/>
      <c r="V128"/>
      <c r="AN128" s="44"/>
      <c r="AO128" s="44"/>
      <c r="AP128" s="44"/>
    </row>
    <row r="129" spans="1:42" s="116" customFormat="1" ht="15" customHeight="1">
      <c r="B129" s="133"/>
      <c r="L129" s="44"/>
      <c r="M129" s="44"/>
      <c r="N129" s="44"/>
      <c r="T129" s="44"/>
      <c r="U129" s="44"/>
      <c r="V129"/>
      <c r="AN129" s="44"/>
      <c r="AO129" s="44"/>
      <c r="AP129" s="44"/>
    </row>
    <row r="130" spans="1:42" s="116" customFormat="1" ht="15" customHeight="1">
      <c r="B130" s="133"/>
      <c r="L130" s="44"/>
      <c r="M130" s="44"/>
      <c r="N130" s="44"/>
      <c r="T130" s="44"/>
      <c r="U130" s="44"/>
      <c r="V130"/>
      <c r="AN130" s="44"/>
      <c r="AO130" s="44"/>
      <c r="AP130" s="44"/>
    </row>
    <row r="131" spans="1:42" s="116" customFormat="1" ht="15" customHeight="1">
      <c r="B131" s="133"/>
      <c r="L131" s="44"/>
      <c r="M131" s="44"/>
      <c r="N131" s="44"/>
      <c r="T131" s="44"/>
      <c r="U131" s="44"/>
      <c r="V131"/>
      <c r="AN131" s="44"/>
      <c r="AO131" s="44"/>
      <c r="AP131" s="44"/>
    </row>
    <row r="132" spans="1:42" s="116" customFormat="1" ht="15" customHeight="1">
      <c r="B132" s="133"/>
      <c r="L132" s="44"/>
      <c r="M132" s="44"/>
      <c r="N132" s="44"/>
      <c r="T132" s="44"/>
      <c r="U132" s="44"/>
      <c r="V132"/>
      <c r="AN132" s="44"/>
      <c r="AO132" s="44"/>
      <c r="AP132" s="44"/>
    </row>
    <row r="133" spans="1:42" ht="15" customHeight="1">
      <c r="A133" s="116"/>
      <c r="B133" s="133"/>
      <c r="C133" s="116"/>
      <c r="D133" s="116"/>
      <c r="E133" s="116"/>
      <c r="F133" s="116"/>
      <c r="I133" s="44"/>
    </row>
    <row r="134" spans="1:42" ht="15" customHeight="1">
      <c r="A134" s="116"/>
      <c r="B134" s="133"/>
      <c r="C134" s="116"/>
      <c r="D134" s="116"/>
      <c r="E134" s="116"/>
      <c r="F134" s="116"/>
      <c r="I134" s="44"/>
    </row>
    <row r="135" spans="1:42" ht="15" customHeight="1">
      <c r="A135" s="116"/>
      <c r="B135" s="133"/>
      <c r="C135" s="116"/>
      <c r="D135" s="116"/>
      <c r="E135" s="116"/>
      <c r="F135" s="116"/>
      <c r="I135" s="44"/>
    </row>
    <row r="136" spans="1:42" ht="15" customHeight="1">
      <c r="A136" s="116"/>
      <c r="B136" s="133"/>
      <c r="C136" s="116"/>
      <c r="D136" s="116"/>
      <c r="E136" s="116"/>
      <c r="F136" s="116"/>
      <c r="I136" s="44"/>
    </row>
    <row r="137" spans="1:42" ht="15" customHeight="1">
      <c r="A137" s="116"/>
      <c r="B137" s="133"/>
      <c r="C137" s="116"/>
      <c r="D137" s="116"/>
      <c r="E137" s="116"/>
      <c r="F137" s="116"/>
      <c r="I137" s="44"/>
    </row>
    <row r="138" spans="1:42" ht="15" customHeight="1">
      <c r="A138" s="116"/>
      <c r="B138" s="133"/>
      <c r="C138" s="116"/>
      <c r="D138" s="116"/>
      <c r="E138" s="116"/>
      <c r="F138" s="116"/>
      <c r="I138" s="44"/>
    </row>
    <row r="139" spans="1:42" ht="15" customHeight="1">
      <c r="A139" s="116"/>
      <c r="B139" s="133"/>
      <c r="C139" s="116"/>
      <c r="D139" s="116"/>
      <c r="E139" s="116"/>
      <c r="F139" s="116"/>
      <c r="I139" s="44"/>
    </row>
    <row r="140" spans="1:42" ht="15" customHeight="1">
      <c r="A140" s="116"/>
      <c r="B140" s="133"/>
      <c r="C140" s="116"/>
      <c r="D140" s="116"/>
      <c r="E140" s="116"/>
      <c r="F140" s="116"/>
      <c r="I140" s="44"/>
    </row>
    <row r="141" spans="1:42" ht="15" customHeight="1">
      <c r="A141" s="116"/>
      <c r="B141" s="133"/>
      <c r="C141" s="116"/>
      <c r="D141" s="116"/>
      <c r="E141" s="116"/>
      <c r="F141" s="116"/>
      <c r="I141" s="44"/>
    </row>
    <row r="142" spans="1:42" ht="15" customHeight="1">
      <c r="A142" s="116"/>
      <c r="B142" s="133"/>
      <c r="C142" s="116"/>
      <c r="D142" s="116"/>
      <c r="E142" s="116"/>
      <c r="F142" s="116"/>
      <c r="I142" s="44"/>
    </row>
    <row r="143" spans="1:42" ht="15" customHeight="1">
      <c r="A143" s="116"/>
      <c r="B143" s="133"/>
      <c r="C143" s="116"/>
      <c r="D143" s="116"/>
      <c r="E143" s="116"/>
      <c r="F143" s="116"/>
      <c r="I143" s="44"/>
    </row>
    <row r="144" spans="1:42" ht="15" customHeight="1">
      <c r="A144" s="116"/>
      <c r="B144" s="133"/>
      <c r="C144" s="116"/>
      <c r="D144" s="116"/>
      <c r="E144" s="116"/>
      <c r="F144" s="116"/>
      <c r="I144" s="44"/>
    </row>
    <row r="145" spans="1:9" ht="15" customHeight="1">
      <c r="A145" s="116"/>
      <c r="B145" s="133"/>
      <c r="C145" s="116"/>
      <c r="D145" s="116"/>
      <c r="E145" s="116"/>
      <c r="F145" s="116"/>
      <c r="I145" s="44"/>
    </row>
    <row r="146" spans="1:9" ht="15" customHeight="1">
      <c r="A146" s="116"/>
      <c r="B146" s="133"/>
      <c r="C146" s="116"/>
      <c r="D146" s="116"/>
      <c r="E146" s="116"/>
      <c r="F146" s="116"/>
      <c r="I146" s="44"/>
    </row>
    <row r="147" spans="1:9" ht="15" customHeight="1">
      <c r="A147" s="116"/>
      <c r="B147" s="133"/>
      <c r="C147" s="116"/>
      <c r="D147" s="116"/>
      <c r="E147" s="116"/>
      <c r="F147" s="116"/>
      <c r="I147" s="44"/>
    </row>
    <row r="148" spans="1:9" ht="15" customHeight="1">
      <c r="A148" s="116"/>
      <c r="B148" s="133"/>
      <c r="C148" s="116"/>
      <c r="D148" s="116"/>
      <c r="E148" s="116"/>
      <c r="F148" s="116"/>
      <c r="I148" s="44"/>
    </row>
    <row r="149" spans="1:9" ht="15" customHeight="1">
      <c r="A149" s="116"/>
      <c r="B149" s="133"/>
      <c r="C149" s="116"/>
      <c r="D149" s="116"/>
      <c r="E149" s="116"/>
      <c r="F149" s="116"/>
      <c r="I149" s="44"/>
    </row>
    <row r="150" spans="1:9" ht="15" customHeight="1">
      <c r="A150" s="116"/>
      <c r="B150" s="133"/>
      <c r="C150" s="116"/>
      <c r="D150" s="116"/>
      <c r="E150" s="116"/>
      <c r="F150" s="116"/>
      <c r="I150" s="44"/>
    </row>
    <row r="151" spans="1:9" ht="15" customHeight="1">
      <c r="A151" s="116"/>
      <c r="B151" s="133"/>
      <c r="C151" s="116"/>
      <c r="D151" s="116"/>
      <c r="E151" s="116"/>
      <c r="F151" s="116"/>
      <c r="I151" s="44"/>
    </row>
    <row r="152" spans="1:9" ht="15" customHeight="1">
      <c r="A152" s="116"/>
      <c r="B152" s="133"/>
      <c r="C152" s="116"/>
      <c r="D152" s="116"/>
      <c r="E152" s="116"/>
      <c r="F152" s="116"/>
      <c r="I152" s="44"/>
    </row>
    <row r="153" spans="1:9" ht="15" customHeight="1">
      <c r="A153" s="116"/>
      <c r="B153" s="133"/>
      <c r="C153" s="116"/>
      <c r="D153" s="116"/>
      <c r="E153" s="116"/>
      <c r="F153" s="116"/>
      <c r="I153" s="44"/>
    </row>
    <row r="154" spans="1:9" ht="15" customHeight="1">
      <c r="A154" s="116"/>
      <c r="B154" s="133"/>
      <c r="C154" s="116"/>
      <c r="D154" s="116"/>
      <c r="E154" s="116"/>
      <c r="F154" s="116"/>
      <c r="I154" s="44"/>
    </row>
    <row r="155" spans="1:9" ht="15" customHeight="1">
      <c r="A155" s="116"/>
      <c r="B155" s="133"/>
      <c r="C155" s="116"/>
      <c r="D155" s="116"/>
      <c r="E155" s="116"/>
      <c r="F155" s="116"/>
      <c r="I155" s="44"/>
    </row>
    <row r="156" spans="1:9" ht="15" customHeight="1">
      <c r="A156" s="116"/>
      <c r="B156" s="133"/>
      <c r="C156" s="116"/>
      <c r="D156" s="116"/>
      <c r="E156" s="116"/>
      <c r="F156" s="116"/>
      <c r="I156" s="44"/>
    </row>
    <row r="157" spans="1:9" ht="15" customHeight="1">
      <c r="A157" s="116"/>
      <c r="B157" s="133"/>
      <c r="C157" s="116"/>
      <c r="D157" s="116"/>
      <c r="E157" s="116"/>
      <c r="F157" s="116"/>
      <c r="I157" s="44"/>
    </row>
    <row r="158" spans="1:9" ht="15" customHeight="1">
      <c r="A158" s="116"/>
      <c r="B158" s="133"/>
      <c r="C158" s="116"/>
      <c r="D158" s="116"/>
      <c r="E158" s="116"/>
      <c r="F158" s="116"/>
      <c r="I158" s="44"/>
    </row>
    <row r="159" spans="1:9" ht="15" customHeight="1">
      <c r="A159" s="116"/>
      <c r="B159" s="133"/>
      <c r="C159" s="116"/>
      <c r="D159" s="116"/>
      <c r="E159" s="116"/>
      <c r="F159" s="116"/>
      <c r="I159" s="44"/>
    </row>
    <row r="160" spans="1:9" ht="15" customHeight="1">
      <c r="A160" s="116"/>
      <c r="B160" s="133"/>
      <c r="C160" s="116"/>
      <c r="D160" s="116"/>
      <c r="E160" s="116"/>
      <c r="F160" s="116"/>
      <c r="I160" s="44"/>
    </row>
    <row r="161" spans="1:9" ht="15" customHeight="1">
      <c r="A161" s="116"/>
      <c r="B161" s="133"/>
      <c r="C161" s="116"/>
      <c r="D161" s="116"/>
      <c r="E161" s="116"/>
      <c r="F161" s="116"/>
      <c r="I161" s="44"/>
    </row>
    <row r="162" spans="1:9" ht="15" customHeight="1">
      <c r="A162" s="116"/>
      <c r="B162" s="133"/>
      <c r="C162" s="116"/>
      <c r="D162" s="116"/>
      <c r="E162" s="116"/>
      <c r="F162" s="116"/>
      <c r="I162" s="44"/>
    </row>
    <row r="163" spans="1:9" ht="15" customHeight="1">
      <c r="A163" s="116"/>
      <c r="B163" s="133"/>
      <c r="C163" s="116"/>
      <c r="D163" s="116"/>
      <c r="E163" s="116"/>
      <c r="F163" s="116"/>
      <c r="I163" s="44"/>
    </row>
    <row r="164" spans="1:9" ht="15" customHeight="1">
      <c r="A164" s="116"/>
      <c r="B164" s="133"/>
      <c r="C164" s="116"/>
      <c r="D164" s="116"/>
      <c r="E164" s="116"/>
      <c r="F164" s="116"/>
      <c r="I164" s="44"/>
    </row>
    <row r="165" spans="1:9" ht="15" customHeight="1">
      <c r="A165" s="116"/>
      <c r="B165" s="133"/>
      <c r="C165" s="116"/>
      <c r="D165" s="116"/>
      <c r="E165" s="116"/>
      <c r="F165" s="116"/>
      <c r="I165" s="44"/>
    </row>
    <row r="166" spans="1:9" ht="15" customHeight="1">
      <c r="A166" s="116"/>
      <c r="B166" s="133"/>
      <c r="C166" s="116"/>
      <c r="D166" s="116"/>
      <c r="E166" s="116"/>
      <c r="F166" s="116"/>
      <c r="I166" s="44"/>
    </row>
    <row r="167" spans="1:9" ht="15" customHeight="1">
      <c r="A167" s="116"/>
      <c r="B167" s="133"/>
      <c r="C167" s="116"/>
      <c r="D167" s="116"/>
      <c r="E167" s="116"/>
      <c r="F167" s="116"/>
      <c r="I167" s="44"/>
    </row>
    <row r="168" spans="1:9" ht="15" customHeight="1">
      <c r="A168" s="116"/>
      <c r="B168" s="133"/>
      <c r="C168" s="116"/>
      <c r="D168" s="116"/>
      <c r="E168" s="116"/>
      <c r="F168" s="116"/>
      <c r="I168" s="44"/>
    </row>
    <row r="169" spans="1:9" ht="15" customHeight="1">
      <c r="A169" s="116"/>
      <c r="B169" s="133"/>
      <c r="C169" s="116"/>
      <c r="D169" s="116"/>
      <c r="E169" s="116"/>
      <c r="F169" s="116"/>
      <c r="I169" s="44"/>
    </row>
    <row r="170" spans="1:9" ht="15" customHeight="1">
      <c r="A170" s="116"/>
      <c r="B170" s="133"/>
      <c r="C170" s="116"/>
      <c r="D170" s="116"/>
      <c r="E170" s="116"/>
      <c r="F170" s="116"/>
      <c r="I170" s="44"/>
    </row>
    <row r="171" spans="1:9" ht="15" customHeight="1">
      <c r="A171" s="116"/>
      <c r="B171" s="133"/>
      <c r="C171" s="116"/>
      <c r="F171" s="116"/>
      <c r="I171" s="44"/>
    </row>
    <row r="172" spans="1:9" ht="15" customHeight="1">
      <c r="A172" s="116"/>
      <c r="B172" s="133"/>
      <c r="C172" s="116"/>
      <c r="F172" s="116"/>
      <c r="I172" s="44"/>
    </row>
    <row r="173" spans="1:9" ht="15" customHeight="1">
      <c r="A173" s="116"/>
      <c r="B173" s="133"/>
      <c r="C173" s="116"/>
      <c r="F173" s="116"/>
      <c r="I173" s="44"/>
    </row>
    <row r="174" spans="1:9" ht="15" customHeight="1">
      <c r="A174" s="116"/>
      <c r="B174" s="133"/>
      <c r="C174" s="116"/>
      <c r="F174" s="116"/>
      <c r="I174" s="44"/>
    </row>
    <row r="175" spans="1:9" ht="15" customHeight="1">
      <c r="A175" s="116"/>
      <c r="B175" s="133"/>
      <c r="C175" s="116"/>
      <c r="F175" s="116"/>
      <c r="I175" s="44"/>
    </row>
    <row r="176" spans="1:9" ht="15" customHeight="1">
      <c r="A176" s="116"/>
      <c r="B176" s="133"/>
      <c r="C176" s="116"/>
      <c r="F176" s="116"/>
      <c r="I176" s="44"/>
    </row>
    <row r="177" spans="1:9" ht="15" customHeight="1">
      <c r="A177" s="116"/>
      <c r="B177" s="133"/>
      <c r="C177" s="116"/>
      <c r="F177" s="116"/>
      <c r="I177" s="44"/>
    </row>
    <row r="178" spans="1:9" ht="15" customHeight="1">
      <c r="A178" s="116"/>
      <c r="B178" s="133"/>
      <c r="C178" s="116"/>
      <c r="F178" s="116"/>
      <c r="I178" s="44"/>
    </row>
    <row r="179" spans="1:9" ht="15" customHeight="1">
      <c r="A179" s="116"/>
      <c r="B179" s="133"/>
      <c r="C179" s="116"/>
      <c r="F179" s="116"/>
      <c r="I179" s="44"/>
    </row>
    <row r="180" spans="1:9" ht="15" customHeight="1">
      <c r="A180" s="116"/>
      <c r="B180" s="133"/>
      <c r="C180" s="116"/>
      <c r="F180" s="116"/>
      <c r="I180" s="44"/>
    </row>
    <row r="181" spans="1:9" ht="15" customHeight="1">
      <c r="A181" s="116"/>
      <c r="B181" s="133"/>
      <c r="C181" s="116"/>
      <c r="F181" s="116"/>
      <c r="I181" s="44"/>
    </row>
    <row r="182" spans="1:9" ht="15" customHeight="1">
      <c r="A182" s="116"/>
      <c r="B182" s="133"/>
      <c r="C182" s="116"/>
      <c r="F182" s="116"/>
      <c r="I182" s="44"/>
    </row>
    <row r="183" spans="1:9" ht="15" customHeight="1">
      <c r="A183" s="116"/>
      <c r="B183" s="133"/>
      <c r="C183" s="116"/>
      <c r="F183" s="116"/>
      <c r="I183" s="44"/>
    </row>
    <row r="184" spans="1:9" ht="15" customHeight="1">
      <c r="A184" s="116"/>
      <c r="B184" s="133"/>
      <c r="C184" s="116"/>
      <c r="F184" s="116"/>
      <c r="I184" s="44"/>
    </row>
    <row r="185" spans="1:9" ht="15" customHeight="1">
      <c r="A185" s="116"/>
      <c r="B185" s="133"/>
      <c r="C185" s="116"/>
      <c r="F185" s="116"/>
      <c r="I185" s="44"/>
    </row>
    <row r="186" spans="1:9" ht="15" customHeight="1">
      <c r="A186" s="116"/>
      <c r="B186" s="133"/>
      <c r="C186" s="116"/>
      <c r="F186" s="116"/>
      <c r="I186" s="44"/>
    </row>
    <row r="187" spans="1:9" ht="15" customHeight="1">
      <c r="A187" s="116"/>
      <c r="B187" s="133"/>
      <c r="C187" s="116"/>
      <c r="F187" s="116"/>
      <c r="I187" s="44"/>
    </row>
    <row r="188" spans="1:9" ht="15" customHeight="1">
      <c r="A188" s="116"/>
      <c r="B188" s="133"/>
      <c r="C188" s="116"/>
      <c r="F188" s="116"/>
      <c r="I188" s="44"/>
    </row>
    <row r="189" spans="1:9" ht="15" customHeight="1">
      <c r="A189" s="116"/>
      <c r="B189" s="133"/>
      <c r="C189" s="116"/>
      <c r="F189" s="116"/>
      <c r="I189" s="44"/>
    </row>
    <row r="190" spans="1:9" ht="15" customHeight="1">
      <c r="A190" s="116"/>
      <c r="B190" s="133"/>
      <c r="C190" s="116"/>
      <c r="F190" s="116"/>
      <c r="I190" s="44"/>
    </row>
    <row r="191" spans="1:9" ht="15" customHeight="1">
      <c r="A191" s="116"/>
      <c r="B191" s="133"/>
      <c r="C191" s="116"/>
      <c r="F191" s="116"/>
      <c r="I191" s="44"/>
    </row>
    <row r="192" spans="1:9" ht="15" customHeight="1">
      <c r="A192" s="116"/>
      <c r="B192" s="133"/>
      <c r="C192" s="116"/>
      <c r="F192" s="116"/>
      <c r="I192" s="44"/>
    </row>
    <row r="193" spans="1:9" ht="15" customHeight="1">
      <c r="A193" s="116"/>
      <c r="B193" s="133"/>
      <c r="C193" s="116"/>
      <c r="F193" s="116"/>
      <c r="I193" s="44"/>
    </row>
    <row r="194" spans="1:9" ht="15" customHeight="1">
      <c r="A194" s="116"/>
      <c r="B194" s="133"/>
      <c r="C194" s="116"/>
      <c r="F194" s="116"/>
      <c r="I194" s="44"/>
    </row>
    <row r="195" spans="1:9" ht="15" customHeight="1">
      <c r="A195" s="116"/>
      <c r="B195" s="133"/>
      <c r="C195" s="116"/>
      <c r="F195" s="116"/>
      <c r="I195" s="44"/>
    </row>
    <row r="196" spans="1:9" ht="15" customHeight="1">
      <c r="A196" s="116"/>
      <c r="B196" s="133"/>
      <c r="C196" s="116"/>
      <c r="F196" s="116"/>
      <c r="I196" s="44"/>
    </row>
    <row r="197" spans="1:9" ht="15" customHeight="1">
      <c r="I197" s="44"/>
    </row>
    <row r="198" spans="1:9" ht="15" customHeight="1">
      <c r="I198" s="44"/>
    </row>
    <row r="199" spans="1:9" ht="15" customHeight="1">
      <c r="I199" s="44"/>
    </row>
    <row r="200" spans="1:9" ht="15" customHeight="1">
      <c r="I200" s="44"/>
    </row>
    <row r="201" spans="1:9" ht="15" customHeight="1">
      <c r="I201" s="44"/>
    </row>
    <row r="202" spans="1:9" ht="15" customHeight="1">
      <c r="I202" s="44"/>
    </row>
    <row r="203" spans="1:9" ht="15" customHeight="1">
      <c r="I203" s="44"/>
    </row>
    <row r="204" spans="1:9" ht="15" customHeight="1">
      <c r="I204" s="44"/>
    </row>
    <row r="205" spans="1:9" ht="15" customHeight="1">
      <c r="I205" s="44"/>
    </row>
    <row r="206" spans="1:9" ht="15" customHeight="1">
      <c r="I206" s="44"/>
    </row>
    <row r="207" spans="1:9" ht="15" customHeight="1">
      <c r="I207" s="44"/>
    </row>
    <row r="208" spans="1:9" ht="15" customHeight="1">
      <c r="I208" s="44"/>
    </row>
    <row r="209" spans="9:9" ht="15" customHeight="1">
      <c r="I209" s="44"/>
    </row>
    <row r="210" spans="9:9" ht="15" customHeight="1">
      <c r="I210" s="44"/>
    </row>
    <row r="211" spans="9:9" ht="15" customHeight="1">
      <c r="I211" s="44"/>
    </row>
    <row r="212" spans="9:9" ht="15" customHeight="1">
      <c r="I212" s="44"/>
    </row>
    <row r="213" spans="9:9" ht="15" customHeight="1">
      <c r="I213" s="44"/>
    </row>
    <row r="214" spans="9:9" ht="15" customHeight="1">
      <c r="I214" s="44"/>
    </row>
    <row r="215" spans="9:9" ht="15" customHeight="1">
      <c r="I215" s="44"/>
    </row>
    <row r="216" spans="9:9" ht="15" customHeight="1">
      <c r="I216" s="44"/>
    </row>
    <row r="217" spans="9:9" ht="15" customHeight="1">
      <c r="I217" s="44"/>
    </row>
    <row r="218" spans="9:9" ht="15" customHeight="1">
      <c r="I218" s="44"/>
    </row>
    <row r="219" spans="9:9" ht="15" customHeight="1">
      <c r="I219" s="44"/>
    </row>
    <row r="220" spans="9:9" ht="15" customHeight="1">
      <c r="I220" s="44"/>
    </row>
    <row r="221" spans="9:9" ht="15" customHeight="1">
      <c r="I221" s="44"/>
    </row>
    <row r="222" spans="9:9" ht="15" customHeight="1">
      <c r="I222" s="44"/>
    </row>
    <row r="223" spans="9:9" ht="15" customHeight="1">
      <c r="I223" s="44"/>
    </row>
    <row r="224" spans="9:9" ht="15" customHeight="1">
      <c r="I224" s="44"/>
    </row>
    <row r="225" spans="9:9" ht="15" customHeight="1">
      <c r="I225" s="44"/>
    </row>
    <row r="226" spans="9:9" ht="15" customHeight="1">
      <c r="I226" s="44"/>
    </row>
    <row r="227" spans="9:9" ht="15" customHeight="1">
      <c r="I227" s="44"/>
    </row>
    <row r="228" spans="9:9" ht="15" customHeight="1">
      <c r="I228" s="44"/>
    </row>
    <row r="229" spans="9:9" ht="15" customHeight="1">
      <c r="I229" s="44"/>
    </row>
    <row r="230" spans="9:9" ht="15" customHeight="1">
      <c r="I230" s="44"/>
    </row>
    <row r="231" spans="9:9" ht="15" customHeight="1">
      <c r="I231" s="44"/>
    </row>
    <row r="232" spans="9:9" ht="15" customHeight="1">
      <c r="I232" s="44"/>
    </row>
    <row r="233" spans="9:9" ht="15" customHeight="1">
      <c r="I233" s="44"/>
    </row>
    <row r="234" spans="9:9" ht="15" customHeight="1">
      <c r="I234" s="44"/>
    </row>
    <row r="235" spans="9:9" ht="15" customHeight="1">
      <c r="I235" s="44"/>
    </row>
    <row r="236" spans="9:9" ht="15" customHeight="1">
      <c r="I236" s="44"/>
    </row>
    <row r="237" spans="9:9" ht="15" customHeight="1">
      <c r="I237" s="44"/>
    </row>
    <row r="238" spans="9:9" ht="15" customHeight="1">
      <c r="I238" s="44"/>
    </row>
    <row r="239" spans="9:9" ht="15" customHeight="1">
      <c r="I239" s="44"/>
    </row>
    <row r="240" spans="9:9" ht="15" customHeight="1">
      <c r="I240" s="44"/>
    </row>
    <row r="241" spans="9:9" ht="15" customHeight="1">
      <c r="I241" s="44"/>
    </row>
    <row r="242" spans="9:9" ht="15" customHeight="1">
      <c r="I242" s="44"/>
    </row>
    <row r="243" spans="9:9" ht="15" customHeight="1">
      <c r="I243" s="44"/>
    </row>
    <row r="244" spans="9:9" ht="15" customHeight="1">
      <c r="I244" s="44"/>
    </row>
    <row r="245" spans="9:9" ht="15" customHeight="1">
      <c r="I245" s="44"/>
    </row>
    <row r="246" spans="9:9" ht="15" customHeight="1">
      <c r="I246" s="44"/>
    </row>
    <row r="247" spans="9:9" ht="15" customHeight="1">
      <c r="I247" s="44"/>
    </row>
    <row r="248" spans="9:9" ht="15" customHeight="1">
      <c r="I248" s="44"/>
    </row>
    <row r="249" spans="9:9" ht="15" customHeight="1">
      <c r="I249" s="44"/>
    </row>
    <row r="250" spans="9:9" ht="15" customHeight="1">
      <c r="I250" s="44"/>
    </row>
    <row r="251" spans="9:9" ht="15" customHeight="1">
      <c r="I251" s="44"/>
    </row>
    <row r="252" spans="9:9" ht="15" customHeight="1">
      <c r="I252" s="44"/>
    </row>
    <row r="253" spans="9:9" ht="15" customHeight="1">
      <c r="I253" s="44"/>
    </row>
    <row r="254" spans="9:9" ht="15" customHeight="1">
      <c r="I254" s="44"/>
    </row>
    <row r="255" spans="9:9" ht="15" customHeight="1">
      <c r="I255" s="44"/>
    </row>
    <row r="256" spans="9:9" ht="15" customHeight="1">
      <c r="I256" s="44"/>
    </row>
    <row r="257" spans="9:9" ht="15" customHeight="1">
      <c r="I257" s="44"/>
    </row>
    <row r="258" spans="9:9" ht="15" customHeight="1">
      <c r="I258" s="44"/>
    </row>
    <row r="259" spans="9:9" ht="15" customHeight="1">
      <c r="I259" s="44"/>
    </row>
    <row r="260" spans="9:9" ht="15" customHeight="1">
      <c r="I260" s="44"/>
    </row>
    <row r="261" spans="9:9" ht="15" customHeight="1">
      <c r="I261" s="44"/>
    </row>
    <row r="262" spans="9:9" ht="15" customHeight="1">
      <c r="I262" s="44"/>
    </row>
    <row r="263" spans="9:9" ht="15" customHeight="1">
      <c r="I263" s="44"/>
    </row>
    <row r="264" spans="9:9" ht="15" customHeight="1">
      <c r="I264" s="44"/>
    </row>
    <row r="265" spans="9:9" ht="15" customHeight="1">
      <c r="I265" s="44"/>
    </row>
    <row r="266" spans="9:9" ht="15" customHeight="1">
      <c r="I266" s="44"/>
    </row>
    <row r="267" spans="9:9" ht="15" customHeight="1">
      <c r="I267" s="44"/>
    </row>
    <row r="268" spans="9:9" ht="15" customHeight="1">
      <c r="I268" s="44"/>
    </row>
    <row r="269" spans="9:9" ht="15" customHeight="1">
      <c r="I269" s="44"/>
    </row>
    <row r="270" spans="9:9" ht="15" customHeight="1">
      <c r="I270" s="44"/>
    </row>
    <row r="271" spans="9:9" ht="15" customHeight="1">
      <c r="I271" s="44"/>
    </row>
    <row r="272" spans="9:9" ht="15" customHeight="1">
      <c r="I272" s="44"/>
    </row>
    <row r="273" spans="9:9" ht="15" customHeight="1">
      <c r="I273" s="44"/>
    </row>
    <row r="274" spans="9:9" ht="15" customHeight="1">
      <c r="I274" s="44"/>
    </row>
    <row r="275" spans="9:9" ht="15" customHeight="1">
      <c r="I275" s="44"/>
    </row>
    <row r="276" spans="9:9" ht="15" customHeight="1">
      <c r="I276" s="44"/>
    </row>
    <row r="277" spans="9:9" ht="15" customHeight="1">
      <c r="I277" s="44"/>
    </row>
    <row r="278" spans="9:9" ht="15" customHeight="1">
      <c r="I278" s="44"/>
    </row>
    <row r="279" spans="9:9" ht="15" customHeight="1">
      <c r="I279" s="44"/>
    </row>
    <row r="280" spans="9:9" ht="15" customHeight="1">
      <c r="I280" s="44"/>
    </row>
    <row r="281" spans="9:9" ht="15" customHeight="1">
      <c r="I281" s="44"/>
    </row>
    <row r="282" spans="9:9" ht="15" customHeight="1">
      <c r="I282" s="44"/>
    </row>
    <row r="283" spans="9:9" ht="15" customHeight="1">
      <c r="I283" s="44"/>
    </row>
    <row r="284" spans="9:9" ht="15" customHeight="1">
      <c r="I284" s="44"/>
    </row>
    <row r="285" spans="9:9" ht="15" customHeight="1">
      <c r="I285" s="44"/>
    </row>
    <row r="286" spans="9:9" ht="15" customHeight="1">
      <c r="I286" s="44"/>
    </row>
    <row r="287" spans="9:9" ht="15" customHeight="1">
      <c r="I287" s="44"/>
    </row>
    <row r="288" spans="9:9" ht="15" customHeight="1">
      <c r="I288" s="44"/>
    </row>
    <row r="289" spans="9:9" ht="15" customHeight="1">
      <c r="I289" s="44"/>
    </row>
    <row r="290" spans="9:9" ht="15" customHeight="1">
      <c r="I290" s="44"/>
    </row>
    <row r="291" spans="9:9" ht="15" customHeight="1">
      <c r="I291" s="44"/>
    </row>
    <row r="292" spans="9:9" ht="15" customHeight="1">
      <c r="I292" s="44"/>
    </row>
    <row r="293" spans="9:9" ht="15" customHeight="1">
      <c r="I293" s="44"/>
    </row>
    <row r="294" spans="9:9" ht="15" customHeight="1">
      <c r="I294" s="44"/>
    </row>
    <row r="295" spans="9:9" ht="15" customHeight="1">
      <c r="I295" s="44"/>
    </row>
    <row r="296" spans="9:9" ht="15" customHeight="1">
      <c r="I296" s="44"/>
    </row>
    <row r="297" spans="9:9" ht="15" customHeight="1">
      <c r="I297" s="44"/>
    </row>
    <row r="298" spans="9:9" ht="15" customHeight="1">
      <c r="I298" s="44"/>
    </row>
    <row r="299" spans="9:9" ht="15" customHeight="1">
      <c r="I299" s="44"/>
    </row>
    <row r="300" spans="9:9" ht="15" customHeight="1">
      <c r="I300" s="44"/>
    </row>
    <row r="301" spans="9:9" ht="15" customHeight="1">
      <c r="I301" s="44"/>
    </row>
    <row r="302" spans="9:9" ht="15" customHeight="1">
      <c r="I302" s="44"/>
    </row>
    <row r="303" spans="9:9" ht="15" customHeight="1">
      <c r="I303" s="44"/>
    </row>
    <row r="304" spans="9:9" ht="15" customHeight="1">
      <c r="I304" s="44"/>
    </row>
    <row r="305" spans="9:9" ht="15" customHeight="1">
      <c r="I305" s="44"/>
    </row>
    <row r="306" spans="9:9" ht="15" customHeight="1">
      <c r="I306" s="44"/>
    </row>
    <row r="307" spans="9:9" ht="15" customHeight="1">
      <c r="I307" s="44"/>
    </row>
    <row r="308" spans="9:9" ht="15" customHeight="1">
      <c r="I308" s="44"/>
    </row>
    <row r="309" spans="9:9" ht="15" customHeight="1">
      <c r="I309" s="44"/>
    </row>
    <row r="310" spans="9:9" ht="15" customHeight="1">
      <c r="I310" s="44"/>
    </row>
    <row r="311" spans="9:9" ht="15" customHeight="1">
      <c r="I311" s="44"/>
    </row>
    <row r="312" spans="9:9" ht="15" customHeight="1">
      <c r="I312" s="44"/>
    </row>
    <row r="313" spans="9:9" ht="15" customHeight="1">
      <c r="I313" s="44"/>
    </row>
    <row r="314" spans="9:9" ht="15" customHeight="1">
      <c r="I314" s="44"/>
    </row>
    <row r="315" spans="9:9" ht="15" customHeight="1">
      <c r="I315" s="44"/>
    </row>
    <row r="316" spans="9:9" ht="15" customHeight="1">
      <c r="I316" s="44"/>
    </row>
    <row r="317" spans="9:9" ht="15" customHeight="1">
      <c r="I317" s="44"/>
    </row>
    <row r="318" spans="9:9" ht="15" customHeight="1">
      <c r="I318" s="44"/>
    </row>
    <row r="319" spans="9:9" ht="15" customHeight="1">
      <c r="I319" s="44"/>
    </row>
    <row r="320" spans="9:9" ht="15" customHeight="1">
      <c r="I320" s="44"/>
    </row>
    <row r="321" spans="9:9" ht="15" customHeight="1">
      <c r="I321" s="44"/>
    </row>
    <row r="322" spans="9:9" ht="15" customHeight="1">
      <c r="I322" s="44"/>
    </row>
    <row r="323" spans="9:9" ht="15" customHeight="1">
      <c r="I323" s="44"/>
    </row>
    <row r="324" spans="9:9" ht="15" customHeight="1">
      <c r="I324" s="44"/>
    </row>
    <row r="325" spans="9:9" ht="15" customHeight="1">
      <c r="I325" s="44"/>
    </row>
    <row r="326" spans="9:9" ht="15" customHeight="1">
      <c r="I326" s="44"/>
    </row>
    <row r="327" spans="9:9" ht="15" customHeight="1">
      <c r="I327" s="44"/>
    </row>
    <row r="328" spans="9:9" ht="15" customHeight="1">
      <c r="I328" s="44"/>
    </row>
    <row r="329" spans="9:9" ht="15" customHeight="1">
      <c r="I329" s="44"/>
    </row>
    <row r="330" spans="9:9" ht="15" customHeight="1">
      <c r="I330" s="44"/>
    </row>
    <row r="331" spans="9:9" ht="15" customHeight="1">
      <c r="I331" s="44"/>
    </row>
    <row r="332" spans="9:9" ht="15" customHeight="1">
      <c r="I332" s="44"/>
    </row>
    <row r="333" spans="9:9" ht="15" customHeight="1">
      <c r="I333" s="44"/>
    </row>
    <row r="334" spans="9:9" ht="15" customHeight="1">
      <c r="I334" s="44"/>
    </row>
    <row r="335" spans="9:9" ht="15" customHeight="1">
      <c r="I335" s="44"/>
    </row>
    <row r="336" spans="9:9" ht="15" customHeight="1">
      <c r="I336" s="44"/>
    </row>
    <row r="337" spans="9:9" ht="15" customHeight="1">
      <c r="I337" s="44"/>
    </row>
    <row r="338" spans="9:9" ht="15" customHeight="1">
      <c r="I338" s="44"/>
    </row>
    <row r="339" spans="9:9" ht="15" customHeight="1">
      <c r="I339" s="44"/>
    </row>
    <row r="340" spans="9:9" ht="15" customHeight="1">
      <c r="I340" s="44"/>
    </row>
    <row r="341" spans="9:9" ht="15" customHeight="1">
      <c r="I341" s="44"/>
    </row>
    <row r="342" spans="9:9" ht="15" customHeight="1">
      <c r="I342" s="44"/>
    </row>
    <row r="343" spans="9:9" ht="15" customHeight="1">
      <c r="I343" s="44"/>
    </row>
    <row r="344" spans="9:9" ht="15" customHeight="1">
      <c r="I344" s="44"/>
    </row>
    <row r="345" spans="9:9" ht="15" customHeight="1">
      <c r="I345" s="44"/>
    </row>
    <row r="346" spans="9:9" ht="15" customHeight="1">
      <c r="I346" s="44"/>
    </row>
    <row r="347" spans="9:9" ht="15" customHeight="1">
      <c r="I347" s="44"/>
    </row>
    <row r="348" spans="9:9" ht="15" customHeight="1">
      <c r="I348" s="44"/>
    </row>
    <row r="349" spans="9:9" ht="15" customHeight="1">
      <c r="I349" s="44"/>
    </row>
    <row r="350" spans="9:9" ht="15" customHeight="1">
      <c r="I350" s="44"/>
    </row>
    <row r="351" spans="9:9" ht="15" customHeight="1">
      <c r="I351" s="44"/>
    </row>
    <row r="352" spans="9:9" ht="15" customHeight="1">
      <c r="I352" s="44"/>
    </row>
    <row r="353" spans="9:9" ht="15" customHeight="1">
      <c r="I353" s="44"/>
    </row>
    <row r="354" spans="9:9" ht="15" customHeight="1">
      <c r="I354" s="44"/>
    </row>
    <row r="355" spans="9:9" ht="15" customHeight="1">
      <c r="I355" s="44"/>
    </row>
    <row r="356" spans="9:9" ht="15" customHeight="1">
      <c r="I356" s="44"/>
    </row>
    <row r="357" spans="9:9" ht="15" customHeight="1">
      <c r="I357" s="44"/>
    </row>
    <row r="358" spans="9:9" ht="15" customHeight="1">
      <c r="I358" s="44"/>
    </row>
    <row r="359" spans="9:9" ht="15" customHeight="1">
      <c r="I359" s="44"/>
    </row>
    <row r="360" spans="9:9" ht="15" customHeight="1">
      <c r="I360" s="44"/>
    </row>
    <row r="361" spans="9:9" ht="15" customHeight="1">
      <c r="I361" s="44"/>
    </row>
    <row r="362" spans="9:9" ht="15" customHeight="1">
      <c r="I362" s="44"/>
    </row>
    <row r="363" spans="9:9" ht="15" customHeight="1">
      <c r="I363" s="44"/>
    </row>
    <row r="364" spans="9:9" ht="15" customHeight="1">
      <c r="I364" s="44"/>
    </row>
    <row r="365" spans="9:9" ht="15" customHeight="1">
      <c r="I365" s="44"/>
    </row>
    <row r="366" spans="9:9" ht="15" customHeight="1">
      <c r="I366" s="44"/>
    </row>
    <row r="367" spans="9:9" ht="15" customHeight="1">
      <c r="I367" s="44"/>
    </row>
    <row r="368" spans="9:9" ht="15" customHeight="1">
      <c r="I368" s="44"/>
    </row>
    <row r="369" spans="9:9" ht="15" customHeight="1">
      <c r="I369" s="44"/>
    </row>
    <row r="370" spans="9:9" ht="15" customHeight="1">
      <c r="I370" s="44"/>
    </row>
    <row r="371" spans="9:9" ht="15" customHeight="1">
      <c r="I371" s="44"/>
    </row>
    <row r="372" spans="9:9" ht="15" customHeight="1">
      <c r="I372" s="44"/>
    </row>
    <row r="373" spans="9:9" ht="15" customHeight="1">
      <c r="I373" s="44"/>
    </row>
    <row r="374" spans="9:9" ht="15" customHeight="1">
      <c r="I374" s="44"/>
    </row>
    <row r="375" spans="9:9" ht="15" customHeight="1">
      <c r="I375" s="44"/>
    </row>
    <row r="376" spans="9:9" ht="15" customHeight="1">
      <c r="I376" s="44"/>
    </row>
    <row r="377" spans="9:9" ht="15" customHeight="1">
      <c r="I377" s="44"/>
    </row>
    <row r="378" spans="9:9" ht="15" customHeight="1">
      <c r="I378" s="44"/>
    </row>
    <row r="379" spans="9:9" ht="15" customHeight="1">
      <c r="I379" s="44"/>
    </row>
    <row r="380" spans="9:9" ht="15" customHeight="1">
      <c r="I380" s="44"/>
    </row>
    <row r="381" spans="9:9" ht="15" customHeight="1">
      <c r="I381" s="44"/>
    </row>
    <row r="382" spans="9:9" ht="15" customHeight="1">
      <c r="I382" s="44"/>
    </row>
    <row r="383" spans="9:9" ht="15" customHeight="1">
      <c r="I383" s="44"/>
    </row>
    <row r="384" spans="9:9" ht="15" customHeight="1">
      <c r="I384" s="44"/>
    </row>
    <row r="385" spans="9:9" ht="15" customHeight="1">
      <c r="I385" s="44"/>
    </row>
    <row r="386" spans="9:9" ht="15" customHeight="1">
      <c r="I386" s="44"/>
    </row>
    <row r="387" spans="9:9" ht="15" customHeight="1">
      <c r="I387" s="44"/>
    </row>
    <row r="388" spans="9:9" ht="15" customHeight="1">
      <c r="I388" s="44"/>
    </row>
    <row r="389" spans="9:9" ht="15" customHeight="1">
      <c r="I389" s="44"/>
    </row>
    <row r="390" spans="9:9" ht="15" customHeight="1">
      <c r="I390" s="44"/>
    </row>
    <row r="391" spans="9:9" ht="15" customHeight="1">
      <c r="I391" s="44"/>
    </row>
    <row r="392" spans="9:9" ht="15" customHeight="1">
      <c r="I392" s="44"/>
    </row>
    <row r="393" spans="9:9" ht="15" customHeight="1">
      <c r="I393" s="44"/>
    </row>
    <row r="394" spans="9:9" ht="15" customHeight="1">
      <c r="I394" s="44"/>
    </row>
    <row r="395" spans="9:9" ht="15" customHeight="1">
      <c r="I395" s="44"/>
    </row>
    <row r="396" spans="9:9" ht="15" customHeight="1">
      <c r="I396" s="44"/>
    </row>
    <row r="397" spans="9:9" ht="15" customHeight="1">
      <c r="I397" s="44"/>
    </row>
    <row r="398" spans="9:9" ht="15" customHeight="1">
      <c r="I398" s="44"/>
    </row>
    <row r="399" spans="9:9" ht="15" customHeight="1">
      <c r="I399" s="44"/>
    </row>
    <row r="400" spans="9:9" ht="15" customHeight="1">
      <c r="I400" s="44"/>
    </row>
    <row r="401" spans="9:9" ht="15" customHeight="1">
      <c r="I401" s="44"/>
    </row>
    <row r="402" spans="9:9" ht="15" customHeight="1">
      <c r="I402" s="44"/>
    </row>
    <row r="403" spans="9:9" ht="15" customHeight="1">
      <c r="I403" s="44"/>
    </row>
    <row r="404" spans="9:9" ht="15" customHeight="1">
      <c r="I404" s="44"/>
    </row>
    <row r="405" spans="9:9" ht="15" customHeight="1">
      <c r="I405" s="44"/>
    </row>
    <row r="406" spans="9:9" ht="15" customHeight="1">
      <c r="I406" s="44"/>
    </row>
    <row r="407" spans="9:9" ht="15" customHeight="1">
      <c r="I407" s="44"/>
    </row>
    <row r="408" spans="9:9" ht="15" customHeight="1">
      <c r="I408" s="44"/>
    </row>
    <row r="409" spans="9:9" ht="15" customHeight="1">
      <c r="I409" s="44"/>
    </row>
    <row r="410" spans="9:9" ht="15" customHeight="1">
      <c r="I410" s="44"/>
    </row>
    <row r="411" spans="9:9" ht="15" customHeight="1">
      <c r="I411" s="44"/>
    </row>
    <row r="412" spans="9:9" ht="15" customHeight="1">
      <c r="I412" s="44"/>
    </row>
    <row r="413" spans="9:9" ht="15" customHeight="1">
      <c r="I413" s="44"/>
    </row>
    <row r="414" spans="9:9" ht="15" customHeight="1">
      <c r="I414" s="44"/>
    </row>
    <row r="415" spans="9:9" ht="15" customHeight="1">
      <c r="I415" s="44"/>
    </row>
    <row r="416" spans="9:9" ht="15" customHeight="1">
      <c r="I416" s="44"/>
    </row>
    <row r="417" spans="9:9" ht="15" customHeight="1">
      <c r="I417" s="44"/>
    </row>
    <row r="418" spans="9:9" ht="15" customHeight="1">
      <c r="I418" s="44"/>
    </row>
    <row r="419" spans="9:9" ht="15" customHeight="1">
      <c r="I419" s="44"/>
    </row>
    <row r="420" spans="9:9" ht="15" customHeight="1">
      <c r="I420" s="44"/>
    </row>
    <row r="421" spans="9:9" ht="15" customHeight="1">
      <c r="I421" s="44"/>
    </row>
    <row r="422" spans="9:9" ht="15" customHeight="1">
      <c r="I422" s="44"/>
    </row>
    <row r="423" spans="9:9" ht="15" customHeight="1">
      <c r="I423" s="44"/>
    </row>
    <row r="424" spans="9:9" ht="15" customHeight="1">
      <c r="I424" s="44"/>
    </row>
    <row r="425" spans="9:9" ht="15" customHeight="1">
      <c r="I425" s="44"/>
    </row>
    <row r="426" spans="9:9" ht="15" customHeight="1">
      <c r="I426" s="44"/>
    </row>
    <row r="427" spans="9:9" ht="15" customHeight="1">
      <c r="I427" s="44"/>
    </row>
    <row r="428" spans="9:9" ht="15" customHeight="1">
      <c r="I428" s="44"/>
    </row>
    <row r="429" spans="9:9" ht="15" customHeight="1">
      <c r="I429" s="44"/>
    </row>
    <row r="430" spans="9:9" ht="15" customHeight="1">
      <c r="I430" s="44"/>
    </row>
    <row r="431" spans="9:9" ht="15" customHeight="1">
      <c r="I431" s="44"/>
    </row>
    <row r="432" spans="9:9" ht="15" customHeight="1">
      <c r="I432" s="44"/>
    </row>
    <row r="433" spans="9:9" ht="15" customHeight="1">
      <c r="I433" s="44"/>
    </row>
    <row r="434" spans="9:9" ht="15" customHeight="1">
      <c r="I434" s="44"/>
    </row>
    <row r="435" spans="9:9" ht="15" customHeight="1">
      <c r="I435" s="44"/>
    </row>
    <row r="436" spans="9:9" ht="15" customHeight="1">
      <c r="I436" s="44"/>
    </row>
    <row r="437" spans="9:9" ht="15" customHeight="1">
      <c r="I437" s="44"/>
    </row>
    <row r="438" spans="9:9" ht="15" customHeight="1">
      <c r="I438" s="44"/>
    </row>
    <row r="439" spans="9:9" ht="15" customHeight="1">
      <c r="I439" s="44"/>
    </row>
    <row r="440" spans="9:9" ht="15" customHeight="1">
      <c r="I440" s="44"/>
    </row>
    <row r="441" spans="9:9" ht="15" customHeight="1">
      <c r="I441" s="44"/>
    </row>
    <row r="442" spans="9:9" ht="15" customHeight="1">
      <c r="I442" s="44"/>
    </row>
    <row r="443" spans="9:9" ht="15" customHeight="1">
      <c r="I443" s="44"/>
    </row>
    <row r="444" spans="9:9" ht="15" customHeight="1">
      <c r="I444" s="44"/>
    </row>
    <row r="445" spans="9:9" ht="15" customHeight="1">
      <c r="I445" s="44"/>
    </row>
    <row r="446" spans="9:9" ht="15" customHeight="1">
      <c r="I446" s="44"/>
    </row>
    <row r="447" spans="9:9" ht="15" customHeight="1">
      <c r="I447" s="44"/>
    </row>
    <row r="448" spans="9:9" ht="15" customHeight="1">
      <c r="I448" s="44"/>
    </row>
    <row r="449" spans="9:9" ht="15" customHeight="1">
      <c r="I449" s="44"/>
    </row>
    <row r="450" spans="9:9" ht="15" customHeight="1">
      <c r="I450" s="44"/>
    </row>
    <row r="451" spans="9:9" ht="15" customHeight="1">
      <c r="I451" s="44"/>
    </row>
    <row r="452" spans="9:9" ht="15" customHeight="1">
      <c r="I452" s="44"/>
    </row>
    <row r="453" spans="9:9" ht="15" customHeight="1">
      <c r="I453" s="44"/>
    </row>
    <row r="454" spans="9:9" ht="15" customHeight="1">
      <c r="I454" s="44"/>
    </row>
    <row r="455" spans="9:9" ht="15" customHeight="1">
      <c r="I455" s="44"/>
    </row>
    <row r="456" spans="9:9" ht="15" customHeight="1">
      <c r="I456" s="44"/>
    </row>
    <row r="457" spans="9:9" ht="15" customHeight="1">
      <c r="I457" s="44"/>
    </row>
    <row r="458" spans="9:9" ht="15" customHeight="1">
      <c r="I458" s="44"/>
    </row>
    <row r="459" spans="9:9" ht="15" customHeight="1">
      <c r="I459" s="44"/>
    </row>
    <row r="460" spans="9:9" ht="15" customHeight="1">
      <c r="I460" s="44"/>
    </row>
    <row r="461" spans="9:9" ht="15" customHeight="1">
      <c r="I461" s="44"/>
    </row>
    <row r="462" spans="9:9" ht="15" customHeight="1">
      <c r="I462" s="44"/>
    </row>
    <row r="463" spans="9:9" ht="15" customHeight="1">
      <c r="I463" s="44"/>
    </row>
    <row r="464" spans="9:9" ht="15" customHeight="1">
      <c r="I464" s="44"/>
    </row>
    <row r="465" spans="9:9" ht="15" customHeight="1">
      <c r="I465" s="44"/>
    </row>
    <row r="466" spans="9:9" ht="15" customHeight="1">
      <c r="I466" s="44"/>
    </row>
    <row r="467" spans="9:9" ht="15" customHeight="1">
      <c r="I467" s="44"/>
    </row>
    <row r="468" spans="9:9" ht="15" customHeight="1">
      <c r="I468" s="44"/>
    </row>
    <row r="469" spans="9:9" ht="15" customHeight="1">
      <c r="I469" s="44"/>
    </row>
    <row r="470" spans="9:9" ht="15" customHeight="1">
      <c r="I470" s="44"/>
    </row>
    <row r="471" spans="9:9" ht="15" customHeight="1">
      <c r="I471" s="44"/>
    </row>
    <row r="472" spans="9:9" ht="15" customHeight="1">
      <c r="I472" s="44"/>
    </row>
    <row r="473" spans="9:9" ht="15" customHeight="1">
      <c r="I473" s="44"/>
    </row>
    <row r="474" spans="9:9" ht="15" customHeight="1">
      <c r="I474" s="44"/>
    </row>
    <row r="475" spans="9:9" ht="15" customHeight="1">
      <c r="I475" s="44"/>
    </row>
    <row r="476" spans="9:9" ht="15" customHeight="1">
      <c r="I476" s="44"/>
    </row>
    <row r="477" spans="9:9" ht="15" customHeight="1">
      <c r="I477" s="44"/>
    </row>
    <row r="478" spans="9:9" ht="15" customHeight="1">
      <c r="I478" s="44"/>
    </row>
    <row r="479" spans="9:9" ht="15" customHeight="1">
      <c r="I479" s="44"/>
    </row>
    <row r="480" spans="9:9" ht="15" customHeight="1">
      <c r="I480" s="44"/>
    </row>
    <row r="481" spans="9:9" ht="15" customHeight="1">
      <c r="I481" s="44"/>
    </row>
    <row r="482" spans="9:9" ht="15" customHeight="1">
      <c r="I482" s="44"/>
    </row>
    <row r="483" spans="9:9" ht="15" customHeight="1">
      <c r="I483" s="44"/>
    </row>
    <row r="484" spans="9:9" ht="15" customHeight="1">
      <c r="I484" s="44"/>
    </row>
    <row r="485" spans="9:9" ht="15" customHeight="1">
      <c r="I485" s="44"/>
    </row>
    <row r="486" spans="9:9" ht="15" customHeight="1">
      <c r="I486" s="44"/>
    </row>
    <row r="487" spans="9:9" ht="15" customHeight="1">
      <c r="I487" s="44"/>
    </row>
    <row r="488" spans="9:9" ht="15" customHeight="1">
      <c r="I488" s="44"/>
    </row>
    <row r="489" spans="9:9" ht="15" customHeight="1">
      <c r="I489" s="44"/>
    </row>
    <row r="490" spans="9:9" ht="15" customHeight="1">
      <c r="I490" s="44"/>
    </row>
    <row r="491" spans="9:9" ht="15" customHeight="1">
      <c r="I491" s="44"/>
    </row>
    <row r="492" spans="9:9" ht="15" customHeight="1">
      <c r="I492" s="44"/>
    </row>
    <row r="493" spans="9:9" ht="15" customHeight="1">
      <c r="I493" s="44"/>
    </row>
    <row r="494" spans="9:9" ht="15" customHeight="1">
      <c r="I494" s="44"/>
    </row>
    <row r="495" spans="9:9" ht="15" customHeight="1">
      <c r="I495" s="44"/>
    </row>
    <row r="496" spans="9:9" ht="15" customHeight="1">
      <c r="I496" s="44"/>
    </row>
    <row r="497" spans="9:9" ht="15" customHeight="1">
      <c r="I497" s="44"/>
    </row>
    <row r="498" spans="9:9" ht="15" customHeight="1">
      <c r="I498" s="44"/>
    </row>
    <row r="499" spans="9:9" ht="15" customHeight="1">
      <c r="I499" s="44"/>
    </row>
    <row r="500" spans="9:9" ht="15" customHeight="1">
      <c r="I500" s="44"/>
    </row>
    <row r="501" spans="9:9" ht="15" customHeight="1">
      <c r="I501" s="44"/>
    </row>
    <row r="502" spans="9:9" ht="15" customHeight="1">
      <c r="I502" s="44"/>
    </row>
    <row r="503" spans="9:9" ht="15" customHeight="1">
      <c r="I503" s="44"/>
    </row>
    <row r="504" spans="9:9" ht="15" customHeight="1">
      <c r="I504" s="44"/>
    </row>
    <row r="505" spans="9:9" ht="15" customHeight="1">
      <c r="I505" s="44"/>
    </row>
    <row r="506" spans="9:9" ht="15" customHeight="1">
      <c r="I506" s="44"/>
    </row>
    <row r="507" spans="9:9" ht="15" customHeight="1">
      <c r="I507" s="44"/>
    </row>
    <row r="508" spans="9:9" ht="15" customHeight="1">
      <c r="I508" s="44"/>
    </row>
    <row r="509" spans="9:9" ht="15" customHeight="1">
      <c r="I509" s="44"/>
    </row>
    <row r="510" spans="9:9" ht="15" customHeight="1">
      <c r="I510" s="44"/>
    </row>
    <row r="511" spans="9:9" ht="15" customHeight="1">
      <c r="I511" s="44"/>
    </row>
    <row r="512" spans="9:9" ht="15" customHeight="1">
      <c r="I512" s="44"/>
    </row>
    <row r="513" spans="9:9" ht="15" customHeight="1">
      <c r="I513" s="44"/>
    </row>
    <row r="514" spans="9:9" ht="15" customHeight="1">
      <c r="I514" s="44"/>
    </row>
    <row r="515" spans="9:9" ht="15" customHeight="1">
      <c r="I515" s="44"/>
    </row>
    <row r="516" spans="9:9" ht="15" customHeight="1">
      <c r="I516" s="44"/>
    </row>
    <row r="517" spans="9:9" ht="15" customHeight="1">
      <c r="I517" s="44"/>
    </row>
    <row r="518" spans="9:9" ht="15" customHeight="1">
      <c r="I518" s="44"/>
    </row>
    <row r="519" spans="9:9" ht="15" customHeight="1">
      <c r="I519" s="44"/>
    </row>
    <row r="520" spans="9:9" ht="15" customHeight="1">
      <c r="I520" s="44"/>
    </row>
    <row r="521" spans="9:9" ht="15" customHeight="1">
      <c r="I521" s="44"/>
    </row>
    <row r="522" spans="9:9" ht="15" customHeight="1">
      <c r="I522" s="44"/>
    </row>
    <row r="523" spans="9:9" ht="15" customHeight="1">
      <c r="I523" s="44"/>
    </row>
    <row r="524" spans="9:9" ht="15" customHeight="1">
      <c r="I524" s="44"/>
    </row>
    <row r="525" spans="9:9" ht="15" customHeight="1">
      <c r="I525" s="44"/>
    </row>
    <row r="526" spans="9:9" ht="15" customHeight="1">
      <c r="I526" s="44"/>
    </row>
    <row r="527" spans="9:9" ht="15" customHeight="1">
      <c r="I527" s="44"/>
    </row>
    <row r="528" spans="9:9" ht="15" customHeight="1">
      <c r="I528" s="44"/>
    </row>
    <row r="529" spans="9:9" ht="15" customHeight="1">
      <c r="I529" s="44"/>
    </row>
    <row r="530" spans="9:9" ht="15" customHeight="1">
      <c r="I530" s="44"/>
    </row>
    <row r="531" spans="9:9" ht="15" customHeight="1">
      <c r="I531" s="44"/>
    </row>
    <row r="532" spans="9:9" ht="15" customHeight="1">
      <c r="I532" s="44"/>
    </row>
    <row r="533" spans="9:9" ht="15" customHeight="1">
      <c r="I533" s="44"/>
    </row>
    <row r="534" spans="9:9" ht="15" customHeight="1">
      <c r="I534" s="44"/>
    </row>
    <row r="535" spans="9:9" ht="15" customHeight="1">
      <c r="I535" s="44"/>
    </row>
    <row r="536" spans="9:9" ht="15" customHeight="1">
      <c r="I536" s="44"/>
    </row>
    <row r="537" spans="9:9" ht="15" customHeight="1">
      <c r="I537" s="44"/>
    </row>
    <row r="538" spans="9:9" ht="15" customHeight="1">
      <c r="I538" s="44"/>
    </row>
    <row r="539" spans="9:9" ht="15" customHeight="1">
      <c r="I539" s="44"/>
    </row>
    <row r="540" spans="9:9" ht="15" customHeight="1">
      <c r="I540" s="44"/>
    </row>
    <row r="541" spans="9:9" ht="15" customHeight="1">
      <c r="I541" s="44"/>
    </row>
    <row r="542" spans="9:9" ht="15" customHeight="1">
      <c r="I542" s="44"/>
    </row>
    <row r="543" spans="9:9" ht="15" customHeight="1">
      <c r="I543" s="44"/>
    </row>
    <row r="544" spans="9:9" ht="15" customHeight="1">
      <c r="I544" s="44"/>
    </row>
    <row r="545" spans="9:9" ht="15" customHeight="1">
      <c r="I545" s="44"/>
    </row>
    <row r="546" spans="9:9" ht="15" customHeight="1">
      <c r="I546" s="44"/>
    </row>
    <row r="547" spans="9:9" ht="15" customHeight="1">
      <c r="I547" s="44"/>
    </row>
    <row r="548" spans="9:9" ht="15" customHeight="1">
      <c r="I548" s="44"/>
    </row>
    <row r="549" spans="9:9" ht="15" customHeight="1">
      <c r="I549" s="44"/>
    </row>
    <row r="550" spans="9:9" ht="15" customHeight="1">
      <c r="I550" s="44"/>
    </row>
    <row r="551" spans="9:9" ht="15" customHeight="1">
      <c r="I551" s="44"/>
    </row>
    <row r="552" spans="9:9" ht="15" customHeight="1">
      <c r="I552" s="44"/>
    </row>
    <row r="553" spans="9:9" ht="15" customHeight="1">
      <c r="I553" s="44"/>
    </row>
    <row r="554" spans="9:9" ht="15" customHeight="1">
      <c r="I554" s="44"/>
    </row>
    <row r="555" spans="9:9" ht="15" customHeight="1">
      <c r="I555" s="44"/>
    </row>
    <row r="556" spans="9:9" ht="15" customHeight="1">
      <c r="I556" s="44"/>
    </row>
    <row r="557" spans="9:9" ht="15" customHeight="1">
      <c r="I557" s="44"/>
    </row>
    <row r="558" spans="9:9" ht="15" customHeight="1">
      <c r="I558" s="44"/>
    </row>
    <row r="559" spans="9:9" ht="15" customHeight="1">
      <c r="I559" s="44"/>
    </row>
    <row r="560" spans="9:9" ht="15" customHeight="1">
      <c r="I560" s="44"/>
    </row>
    <row r="561" spans="9:9" ht="15" customHeight="1">
      <c r="I561" s="44"/>
    </row>
  </sheetData>
  <sortState columnSort="1" ref="G65:BF69">
    <sortCondition ref="G66:BF66"/>
  </sortState>
  <mergeCells count="1">
    <mergeCell ref="C1:C2"/>
  </mergeCells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S154"/>
  <sheetViews>
    <sheetView workbookViewId="0">
      <pane ySplit="1" topLeftCell="A2" activePane="bottomLeft" state="frozen"/>
      <selection pane="bottomLeft" activeCell="G19" sqref="G19"/>
    </sheetView>
  </sheetViews>
  <sheetFormatPr defaultRowHeight="12.6"/>
  <cols>
    <col min="1" max="1" width="9.109375" customWidth="1"/>
    <col min="2" max="2" width="30.88671875" customWidth="1"/>
    <col min="4" max="4" width="8.88671875" style="182" customWidth="1"/>
    <col min="26" max="26" width="9.109375" style="32"/>
    <col min="27" max="27" width="9.44140625" style="32" customWidth="1"/>
  </cols>
  <sheetData>
    <row r="1" spans="1:59" s="49" customFormat="1" ht="56.25" customHeight="1">
      <c r="A1" s="115" t="s">
        <v>0</v>
      </c>
      <c r="B1" s="169" t="s">
        <v>77</v>
      </c>
      <c r="C1" s="47" t="s">
        <v>86</v>
      </c>
      <c r="D1" s="170" t="s">
        <v>402</v>
      </c>
      <c r="E1" s="48" t="s">
        <v>403</v>
      </c>
      <c r="F1" s="106" t="s">
        <v>208</v>
      </c>
      <c r="G1" s="49" t="s">
        <v>11</v>
      </c>
      <c r="H1" s="49" t="s">
        <v>56</v>
      </c>
      <c r="I1" s="49" t="s">
        <v>248</v>
      </c>
      <c r="J1" s="49" t="s">
        <v>10</v>
      </c>
      <c r="K1" s="49" t="s">
        <v>73</v>
      </c>
      <c r="L1" s="49" t="s">
        <v>7</v>
      </c>
      <c r="M1" s="49" t="s">
        <v>21</v>
      </c>
      <c r="N1" s="49" t="s">
        <v>24</v>
      </c>
      <c r="O1" s="49" t="s">
        <v>20</v>
      </c>
      <c r="P1" s="49" t="s">
        <v>29</v>
      </c>
      <c r="Q1" s="49" t="s">
        <v>36</v>
      </c>
      <c r="R1" s="49" t="s">
        <v>13</v>
      </c>
      <c r="S1" s="49" t="s">
        <v>33</v>
      </c>
      <c r="T1" s="49" t="s">
        <v>14</v>
      </c>
      <c r="U1" s="49" t="s">
        <v>59</v>
      </c>
      <c r="V1" s="49" t="s">
        <v>52</v>
      </c>
      <c r="W1" s="49" t="s">
        <v>39</v>
      </c>
      <c r="X1" s="49" t="s">
        <v>16</v>
      </c>
      <c r="Y1" s="49" t="s">
        <v>31</v>
      </c>
      <c r="Z1" s="136" t="s">
        <v>17</v>
      </c>
      <c r="AA1" s="136" t="s">
        <v>60</v>
      </c>
      <c r="AB1" s="49" t="s">
        <v>5</v>
      </c>
      <c r="AC1" s="49" t="s">
        <v>55</v>
      </c>
      <c r="AD1" s="49" t="s">
        <v>44</v>
      </c>
      <c r="AE1" s="49" t="s">
        <v>18</v>
      </c>
      <c r="AF1" s="49" t="s">
        <v>46</v>
      </c>
      <c r="AG1" s="49" t="s">
        <v>58</v>
      </c>
      <c r="AH1" s="49" t="s">
        <v>34</v>
      </c>
      <c r="AI1" s="49" t="s">
        <v>28</v>
      </c>
      <c r="AJ1" s="49" t="s">
        <v>40</v>
      </c>
      <c r="AK1" s="49" t="s">
        <v>47</v>
      </c>
      <c r="AL1" s="49" t="s">
        <v>22</v>
      </c>
      <c r="AM1" s="49" t="s">
        <v>71</v>
      </c>
      <c r="AN1" s="49" t="s">
        <v>43</v>
      </c>
      <c r="AO1" s="49" t="s">
        <v>48</v>
      </c>
      <c r="AP1" s="49" t="s">
        <v>68</v>
      </c>
      <c r="AQ1" s="49" t="s">
        <v>12</v>
      </c>
      <c r="AR1" s="49" t="s">
        <v>62</v>
      </c>
      <c r="AS1" s="49" t="s">
        <v>61</v>
      </c>
      <c r="AT1" s="49" t="s">
        <v>51</v>
      </c>
      <c r="AU1" s="49" t="s">
        <v>8</v>
      </c>
      <c r="AV1" s="49" t="s">
        <v>64</v>
      </c>
      <c r="AW1" s="49" t="s">
        <v>26</v>
      </c>
      <c r="AX1" s="49" t="s">
        <v>67</v>
      </c>
      <c r="AY1" s="49" t="s">
        <v>57</v>
      </c>
      <c r="AZ1" s="49" t="s">
        <v>54</v>
      </c>
      <c r="BA1" s="49" t="s">
        <v>37</v>
      </c>
      <c r="BB1" s="49" t="s">
        <v>65</v>
      </c>
      <c r="BC1" s="49" t="s">
        <v>27</v>
      </c>
      <c r="BD1" s="49" t="s">
        <v>50</v>
      </c>
      <c r="BE1" s="49" t="s">
        <v>69</v>
      </c>
      <c r="BF1" s="49" t="s">
        <v>4</v>
      </c>
    </row>
    <row r="2" spans="1:59" s="51" customFormat="1" ht="31.5" customHeight="1">
      <c r="A2" s="115" t="s">
        <v>316</v>
      </c>
      <c r="B2" s="169"/>
      <c r="C2" s="50"/>
      <c r="D2" s="171"/>
      <c r="E2" s="50"/>
      <c r="F2" s="107"/>
      <c r="G2" s="51" t="s">
        <v>123</v>
      </c>
      <c r="H2" s="51" t="s">
        <v>124</v>
      </c>
      <c r="I2" s="51" t="s">
        <v>125</v>
      </c>
      <c r="J2" s="51" t="s">
        <v>128</v>
      </c>
      <c r="K2" s="51" t="s">
        <v>141</v>
      </c>
      <c r="L2" s="51" t="s">
        <v>173</v>
      </c>
      <c r="M2" s="51" t="s">
        <v>126</v>
      </c>
      <c r="N2" s="51" t="s">
        <v>150</v>
      </c>
      <c r="O2" s="51" t="s">
        <v>156</v>
      </c>
      <c r="P2" s="51" t="s">
        <v>163</v>
      </c>
      <c r="Q2" s="51" t="s">
        <v>164</v>
      </c>
      <c r="R2" s="51" t="s">
        <v>170</v>
      </c>
      <c r="S2" s="51" t="s">
        <v>189</v>
      </c>
      <c r="T2" s="51" t="s">
        <v>137</v>
      </c>
      <c r="U2" s="51" t="s">
        <v>158</v>
      </c>
      <c r="V2" s="51" t="s">
        <v>168</v>
      </c>
      <c r="W2" s="51" t="s">
        <v>166</v>
      </c>
      <c r="X2" s="51" t="s">
        <v>187</v>
      </c>
      <c r="Y2" s="51" t="s">
        <v>185</v>
      </c>
      <c r="Z2" s="137" t="s">
        <v>138</v>
      </c>
      <c r="AA2" s="137" t="s">
        <v>153</v>
      </c>
      <c r="AB2" s="51" t="s">
        <v>184</v>
      </c>
      <c r="AC2" s="51" t="s">
        <v>175</v>
      </c>
      <c r="AD2" s="51" t="s">
        <v>167</v>
      </c>
      <c r="AE2" s="51" t="s">
        <v>160</v>
      </c>
      <c r="AF2" s="51" t="s">
        <v>161</v>
      </c>
      <c r="AG2" s="51" t="s">
        <v>183</v>
      </c>
      <c r="AH2" s="51" t="s">
        <v>182</v>
      </c>
      <c r="AI2" s="51" t="s">
        <v>136</v>
      </c>
      <c r="AJ2" s="51" t="s">
        <v>188</v>
      </c>
      <c r="AK2" s="51" t="s">
        <v>131</v>
      </c>
      <c r="AL2" s="51" t="s">
        <v>143</v>
      </c>
      <c r="AM2" s="51" t="s">
        <v>130</v>
      </c>
      <c r="AN2" s="51" t="s">
        <v>177</v>
      </c>
      <c r="AO2" s="51" t="s">
        <v>176</v>
      </c>
      <c r="AP2" s="51" t="s">
        <v>151</v>
      </c>
      <c r="AQ2" s="51" t="s">
        <v>152</v>
      </c>
      <c r="AR2" s="51" t="s">
        <v>155</v>
      </c>
      <c r="AS2" s="51" t="s">
        <v>159</v>
      </c>
      <c r="AT2" s="51" t="s">
        <v>139</v>
      </c>
      <c r="AU2" s="51" t="s">
        <v>162</v>
      </c>
      <c r="AV2" s="51" t="s">
        <v>178</v>
      </c>
      <c r="AW2" s="51" t="s">
        <v>179</v>
      </c>
      <c r="AX2" s="51" t="s">
        <v>135</v>
      </c>
      <c r="AY2" s="51" t="s">
        <v>127</v>
      </c>
      <c r="AZ2" s="51" t="s">
        <v>129</v>
      </c>
      <c r="BA2" s="51" t="s">
        <v>147</v>
      </c>
      <c r="BB2" s="51" t="s">
        <v>148</v>
      </c>
      <c r="BC2" s="51" t="s">
        <v>165</v>
      </c>
      <c r="BD2" s="51" t="s">
        <v>169</v>
      </c>
      <c r="BE2" s="51" t="s">
        <v>134</v>
      </c>
      <c r="BF2" s="51" t="s">
        <v>142</v>
      </c>
    </row>
    <row r="3" spans="1:59" s="51" customFormat="1" ht="18" customHeight="1">
      <c r="A3" s="95"/>
      <c r="B3" s="52" t="s">
        <v>199</v>
      </c>
      <c r="C3" s="50"/>
      <c r="D3" s="171"/>
      <c r="E3" s="50"/>
      <c r="F3" s="107"/>
      <c r="G3" s="51">
        <v>50</v>
      </c>
      <c r="N3" s="51">
        <v>18</v>
      </c>
      <c r="O3" s="51">
        <v>750</v>
      </c>
      <c r="P3" s="51">
        <v>700</v>
      </c>
      <c r="Q3" s="51">
        <v>2600</v>
      </c>
      <c r="S3" s="51">
        <v>15</v>
      </c>
      <c r="T3" s="51">
        <v>0.9</v>
      </c>
      <c r="U3" s="51">
        <v>3</v>
      </c>
      <c r="V3" s="51">
        <v>100</v>
      </c>
      <c r="W3" s="51">
        <v>125</v>
      </c>
      <c r="X3" s="51">
        <v>400</v>
      </c>
      <c r="Y3" s="51">
        <v>400</v>
      </c>
      <c r="Z3" s="137"/>
      <c r="AA3" s="137"/>
      <c r="AB3" s="51">
        <v>1000</v>
      </c>
      <c r="AC3" s="51">
        <v>50</v>
      </c>
      <c r="AD3" s="51">
        <v>15</v>
      </c>
      <c r="AE3" s="51">
        <v>15</v>
      </c>
      <c r="AF3" s="51">
        <v>50</v>
      </c>
      <c r="AG3" s="51">
        <v>50</v>
      </c>
      <c r="AH3" s="51">
        <v>200</v>
      </c>
      <c r="AI3" s="51">
        <v>50</v>
      </c>
      <c r="AJ3" s="51">
        <v>100</v>
      </c>
      <c r="AK3" s="51">
        <v>1500</v>
      </c>
      <c r="AR3" s="51">
        <v>0.05</v>
      </c>
      <c r="AS3" s="51">
        <v>0.05</v>
      </c>
      <c r="AT3" s="51">
        <v>0.05</v>
      </c>
      <c r="AV3" s="51">
        <v>0.5</v>
      </c>
    </row>
    <row r="4" spans="1:59" s="55" customFormat="1" ht="15" customHeight="1">
      <c r="A4" s="96"/>
      <c r="B4" s="53"/>
      <c r="C4" s="54"/>
      <c r="D4" s="172"/>
      <c r="E4" s="54"/>
      <c r="F4" s="108"/>
      <c r="G4" s="55" t="s">
        <v>1</v>
      </c>
      <c r="H4" s="55" t="s">
        <v>1</v>
      </c>
      <c r="I4" s="55" t="s">
        <v>1</v>
      </c>
      <c r="J4" s="55" t="s">
        <v>1</v>
      </c>
      <c r="K4" s="55" t="s">
        <v>19</v>
      </c>
      <c r="L4" s="55" t="s">
        <v>1</v>
      </c>
      <c r="M4" s="55" t="s">
        <v>1</v>
      </c>
      <c r="N4" s="55" t="s">
        <v>6</v>
      </c>
      <c r="O4" s="55" t="s">
        <v>6</v>
      </c>
      <c r="P4" s="55" t="s">
        <v>6</v>
      </c>
      <c r="Q4" s="55" t="s">
        <v>6</v>
      </c>
      <c r="R4" s="55" t="s">
        <v>6</v>
      </c>
      <c r="S4" s="55" t="s">
        <v>6</v>
      </c>
      <c r="T4" s="55" t="s">
        <v>6</v>
      </c>
      <c r="U4" s="55" t="s">
        <v>6</v>
      </c>
      <c r="V4" s="55" t="s">
        <v>3</v>
      </c>
      <c r="W4" s="55" t="s">
        <v>3</v>
      </c>
      <c r="X4" s="55" t="s">
        <v>6</v>
      </c>
      <c r="Y4" s="55" t="s">
        <v>32</v>
      </c>
      <c r="Z4" s="138" t="s">
        <v>3</v>
      </c>
      <c r="AA4" s="138" t="s">
        <v>3</v>
      </c>
      <c r="AB4" s="55" t="s">
        <v>6</v>
      </c>
      <c r="AC4" s="55" t="s">
        <v>6</v>
      </c>
      <c r="AD4" s="55" t="s">
        <v>6</v>
      </c>
      <c r="AE4" s="55" t="s">
        <v>6</v>
      </c>
      <c r="AF4" s="55" t="s">
        <v>6</v>
      </c>
      <c r="AG4" s="55" t="s">
        <v>6</v>
      </c>
      <c r="AH4" s="55" t="s">
        <v>3</v>
      </c>
      <c r="AI4" s="55" t="s">
        <v>6</v>
      </c>
      <c r="AJ4" s="55" t="s">
        <v>3</v>
      </c>
      <c r="AK4" s="55" t="s">
        <v>6</v>
      </c>
      <c r="AL4" s="55" t="s">
        <v>3</v>
      </c>
      <c r="AM4" s="55" t="s">
        <v>6</v>
      </c>
      <c r="AN4" s="55" t="s">
        <v>1</v>
      </c>
      <c r="AO4" s="55" t="s">
        <v>6</v>
      </c>
      <c r="AP4" s="55" t="s">
        <v>1</v>
      </c>
      <c r="AQ4" s="55" t="s">
        <v>1</v>
      </c>
      <c r="AR4" s="55" t="s">
        <v>1</v>
      </c>
      <c r="AS4" s="55" t="s">
        <v>1</v>
      </c>
      <c r="AT4" s="55" t="s">
        <v>1</v>
      </c>
      <c r="AU4" s="55" t="s">
        <v>1</v>
      </c>
      <c r="AV4" s="55" t="s">
        <v>1</v>
      </c>
      <c r="AW4" s="55" t="s">
        <v>1</v>
      </c>
      <c r="AX4" s="55" t="s">
        <v>1</v>
      </c>
      <c r="AY4" s="55" t="s">
        <v>1</v>
      </c>
      <c r="AZ4" s="55" t="s">
        <v>1</v>
      </c>
      <c r="BC4" s="55" t="s">
        <v>1</v>
      </c>
      <c r="BD4" s="55" t="s">
        <v>1</v>
      </c>
      <c r="BE4" s="55" t="s">
        <v>6</v>
      </c>
      <c r="BF4" s="55" t="s">
        <v>1</v>
      </c>
    </row>
    <row r="5" spans="1:59" s="44" customFormat="1" ht="15" customHeight="1">
      <c r="A5" s="97">
        <v>168603</v>
      </c>
      <c r="B5" s="57" t="s">
        <v>110</v>
      </c>
      <c r="C5" s="50" t="s">
        <v>311</v>
      </c>
      <c r="D5" s="173">
        <v>1</v>
      </c>
      <c r="E5" s="58" t="s">
        <v>404</v>
      </c>
      <c r="F5" s="109">
        <v>16</v>
      </c>
      <c r="G5" s="59">
        <v>1.31</v>
      </c>
      <c r="H5" s="59">
        <v>3.4689999999999999</v>
      </c>
      <c r="I5" s="46">
        <v>1.1759999999999999</v>
      </c>
      <c r="J5" s="46">
        <v>0.193</v>
      </c>
      <c r="K5" s="59">
        <v>38.369999999999997</v>
      </c>
      <c r="L5" s="59">
        <v>0.39100000000000001</v>
      </c>
      <c r="M5" s="59">
        <v>0.64300000000000002</v>
      </c>
      <c r="N5" s="59">
        <v>0.218</v>
      </c>
      <c r="O5" s="59">
        <v>17.43</v>
      </c>
      <c r="P5" s="59">
        <v>31.75</v>
      </c>
      <c r="Q5" s="59">
        <v>46.75</v>
      </c>
      <c r="R5" s="59">
        <v>14.188000000000001</v>
      </c>
      <c r="S5" s="59">
        <v>0.21</v>
      </c>
      <c r="T5" s="59">
        <v>5.8000000000000003E-2</v>
      </c>
      <c r="U5" s="59">
        <v>0.13300000000000001</v>
      </c>
      <c r="V5" s="59">
        <v>0.15</v>
      </c>
      <c r="W5" s="59">
        <v>0</v>
      </c>
      <c r="X5" s="59">
        <v>0</v>
      </c>
      <c r="Y5" s="59">
        <v>0</v>
      </c>
      <c r="Z5" s="59">
        <v>0</v>
      </c>
      <c r="AA5" s="59">
        <v>0.06</v>
      </c>
      <c r="AB5" s="59">
        <v>0</v>
      </c>
      <c r="AC5" s="59">
        <v>2E-3</v>
      </c>
      <c r="AD5" s="59">
        <v>5.8000000000000003E-2</v>
      </c>
      <c r="AE5" s="59">
        <v>0.19700000000000001</v>
      </c>
      <c r="AF5" s="59">
        <v>1.9E-2</v>
      </c>
      <c r="AG5" s="59">
        <v>6.0000000000000001E-3</v>
      </c>
      <c r="AH5" s="59">
        <v>0</v>
      </c>
      <c r="AI5" s="59">
        <v>3.2559999999999998</v>
      </c>
      <c r="AJ5" s="59">
        <v>0.10199999999999999</v>
      </c>
      <c r="AK5" s="46">
        <v>21.68</v>
      </c>
      <c r="AL5" s="59">
        <v>3.3119999999999998</v>
      </c>
      <c r="AM5" s="46">
        <v>0</v>
      </c>
      <c r="AN5" s="59">
        <v>8.9999999999999993E-3</v>
      </c>
      <c r="AO5" s="59">
        <v>3.4000000000000002E-2</v>
      </c>
      <c r="AP5" s="59">
        <v>0.05</v>
      </c>
      <c r="AQ5" s="59">
        <v>9.1999999999999998E-2</v>
      </c>
      <c r="AR5" s="59">
        <v>3.7999999999999999E-2</v>
      </c>
      <c r="AS5" s="59">
        <v>7.0000000000000001E-3</v>
      </c>
      <c r="AT5" s="59">
        <v>1.4999999999999999E-2</v>
      </c>
      <c r="AU5" s="59">
        <v>7.0999999999999994E-2</v>
      </c>
      <c r="AV5" s="59">
        <v>3.6999999999999998E-2</v>
      </c>
      <c r="AW5" s="59">
        <v>5.8999999999999997E-2</v>
      </c>
      <c r="AX5" s="46">
        <v>8.9999999999999993E-3</v>
      </c>
      <c r="AY5" s="46">
        <v>4.0000000000000001E-3</v>
      </c>
      <c r="AZ5" s="59">
        <v>0.14899999999999999</v>
      </c>
      <c r="BA5" s="59">
        <v>0.3695</v>
      </c>
      <c r="BB5" s="59">
        <v>9.1999999999999998E-2</v>
      </c>
      <c r="BC5" s="59">
        <v>5.7000000000000002E-2</v>
      </c>
      <c r="BD5" s="59">
        <v>5.7000000000000002E-2</v>
      </c>
      <c r="BE5" s="59">
        <v>0</v>
      </c>
      <c r="BF5" s="59">
        <v>0</v>
      </c>
      <c r="BG5" s="44" t="str">
        <f>"new Food('"&amp;A5&amp;"','"&amp;B5&amp;"','"&amp;C5&amp;"','"&amp;D5&amp;"','"&amp;E5&amp;"','"&amp;F5&amp;"',['"&amp;G5&amp;"','"&amp;H5&amp;"','"&amp;I5&amp;"','"&amp;J5&amp;"','"&amp;K5&amp;"','"&amp;L5&amp;"','"&amp;M5&amp;"','"&amp;N5&amp;"','"&amp;O5&amp;"','"&amp;P5&amp;"','"&amp;Q5&amp;"','"&amp;R5&amp;"','"&amp;S5&amp;"','"&amp;T5&amp;"','"&amp;U5&amp;"','"&amp;V5&amp;"','"&amp;W5&amp;"','"&amp;X5&amp;"','"&amp;Y5&amp;"','"&amp;Z5&amp;"','"&amp;AA5&amp;"','"&amp;AB5&amp;"','"&amp;AC5&amp;"','"&amp;AD5&amp;"','"&amp;AE5&amp;"','"&amp;AF5&amp;"','"&amp;AG5&amp;"','"&amp;AH5&amp;"','"&amp;AI5&amp;"','"&amp;AJ5&amp;"','"&amp;AK5&amp;"','"&amp;AL5&amp;"','"&amp;AM5&amp;"','"&amp;AN5&amp;"','"&amp;AO5&amp;"','"&amp;AP5&amp;"','"&amp;AQ5&amp;"','"&amp;AR5&amp;"','"&amp;AS5&amp;"','"&amp;AT5&amp;"','"&amp;AU5&amp;"','"&amp;AV5&amp;"','"&amp;AW5&amp;"','"&amp;AX5&amp;"','"&amp;AY5&amp;"','"&amp;AZ5&amp;"','"&amp;BA5&amp;"','"&amp;BB5&amp;"','"&amp;BC5&amp;"','"&amp;BD5&amp;"','"&amp;BE5&amp;"','"&amp;BF5&amp;"']),"</f>
        <v>new Food('168603','Almond butter salt added','Ingred','1','Tbsp','16',['1.31','3.469','1.176','0.193','38.37','0.391','0.643','0.218','17.43','31.75','46.75','14.188','0.21','0.058','0.133','0.15','0','0','0','0','0.06','0','0.002','0.058','0.197','0.019','0.006','0','3.256','0.102','21.68','3.312','0','0.009','0.034','0.05','0.092','0.038','0.007','0.015','0.071','0.037','0.059','0.009','0.004','0.149','0.3695','0.092','0.057','0.057','0','0']),</v>
      </c>
    </row>
    <row r="6" spans="1:59" s="44" customFormat="1" ht="15" customHeight="1">
      <c r="A6" s="98">
        <v>2705408</v>
      </c>
      <c r="B6" s="44" t="s">
        <v>290</v>
      </c>
      <c r="C6" s="50" t="s">
        <v>280</v>
      </c>
      <c r="D6" s="174">
        <v>1</v>
      </c>
      <c r="E6" s="60" t="s">
        <v>70</v>
      </c>
      <c r="F6" s="63">
        <v>244</v>
      </c>
      <c r="G6" s="141">
        <v>0.56999999999999995</v>
      </c>
      <c r="H6" s="142">
        <v>1.2</v>
      </c>
      <c r="I6" s="117">
        <v>7.44</v>
      </c>
      <c r="J6" s="141">
        <v>0</v>
      </c>
      <c r="K6" s="142">
        <v>43</v>
      </c>
      <c r="L6" s="142">
        <v>6.97</v>
      </c>
      <c r="M6" s="142">
        <v>0.1</v>
      </c>
      <c r="N6" s="142">
        <v>0.31</v>
      </c>
      <c r="O6" s="142">
        <v>8</v>
      </c>
      <c r="P6" s="142">
        <v>30</v>
      </c>
      <c r="Q6" s="142">
        <v>33</v>
      </c>
      <c r="R6" s="142">
        <v>56</v>
      </c>
      <c r="S6" s="142">
        <v>0.18</v>
      </c>
      <c r="T6" s="142">
        <v>3.1E-2</v>
      </c>
      <c r="U6" s="142">
        <v>0</v>
      </c>
      <c r="V6" s="142">
        <v>0.1</v>
      </c>
      <c r="W6" s="142">
        <v>38</v>
      </c>
      <c r="X6" s="142">
        <v>3.08</v>
      </c>
      <c r="Y6" s="142">
        <v>0</v>
      </c>
      <c r="Z6" s="142">
        <v>0</v>
      </c>
      <c r="AA6" s="142">
        <v>0</v>
      </c>
      <c r="AB6" s="142">
        <v>0</v>
      </c>
      <c r="AC6" s="142">
        <v>0</v>
      </c>
      <c r="AD6" s="142">
        <v>3.3000000000000002E-2</v>
      </c>
      <c r="AE6" s="142">
        <v>7.4999999999999997E-2</v>
      </c>
      <c r="AF6" s="142">
        <v>0</v>
      </c>
      <c r="AG6" s="142">
        <v>0</v>
      </c>
      <c r="AH6" s="142">
        <v>0.32</v>
      </c>
      <c r="AI6" s="142">
        <v>2.9</v>
      </c>
      <c r="AJ6" s="142">
        <v>0</v>
      </c>
      <c r="AK6" s="142">
        <v>0</v>
      </c>
      <c r="AL6" s="142">
        <v>0</v>
      </c>
      <c r="AM6" s="142">
        <v>0</v>
      </c>
      <c r="AN6" s="142">
        <v>0</v>
      </c>
      <c r="AO6" s="142">
        <v>0</v>
      </c>
      <c r="AP6" s="142">
        <v>0</v>
      </c>
      <c r="AQ6" s="142">
        <v>0</v>
      </c>
      <c r="AR6" s="142">
        <v>0</v>
      </c>
      <c r="AS6" s="142">
        <v>0</v>
      </c>
      <c r="AT6" s="142">
        <v>0</v>
      </c>
      <c r="AU6" s="142">
        <v>0</v>
      </c>
      <c r="AV6" s="142">
        <v>0</v>
      </c>
      <c r="AW6" s="142">
        <v>0</v>
      </c>
      <c r="AX6" s="142">
        <v>0</v>
      </c>
      <c r="AY6" s="142">
        <v>0</v>
      </c>
      <c r="AZ6" s="142">
        <v>0</v>
      </c>
      <c r="BA6" s="142">
        <v>0</v>
      </c>
      <c r="BB6" s="142">
        <v>0</v>
      </c>
      <c r="BC6" s="142">
        <v>0</v>
      </c>
      <c r="BD6" s="142">
        <v>0</v>
      </c>
      <c r="BE6" s="142">
        <v>0</v>
      </c>
      <c r="BF6" s="142">
        <v>0.69</v>
      </c>
      <c r="BG6" s="44" t="str">
        <f t="shared" ref="BG6:BG69" si="0">"new Food('"&amp;A6&amp;"','"&amp;B6&amp;"','"&amp;C6&amp;"','"&amp;D6&amp;"','"&amp;E6&amp;"','"&amp;F6&amp;"',['"&amp;G6&amp;"','"&amp;H6&amp;"','"&amp;I6&amp;"','"&amp;J6&amp;"','"&amp;K6&amp;"','"&amp;L6&amp;"','"&amp;M6&amp;"','"&amp;N6&amp;"','"&amp;O6&amp;"','"&amp;P6&amp;"','"&amp;Q6&amp;"','"&amp;R6&amp;"','"&amp;S6&amp;"','"&amp;T6&amp;"','"&amp;U6&amp;"','"&amp;V6&amp;"','"&amp;W6&amp;"','"&amp;X6&amp;"','"&amp;Y6&amp;"','"&amp;Z6&amp;"','"&amp;AA6&amp;"','"&amp;AB6&amp;"','"&amp;AC6&amp;"','"&amp;AD6&amp;"','"&amp;AE6&amp;"','"&amp;AF6&amp;"','"&amp;AG6&amp;"','"&amp;AH6&amp;"','"&amp;AI6&amp;"','"&amp;AJ6&amp;"','"&amp;AK6&amp;"','"&amp;AL6&amp;"','"&amp;AM6&amp;"','"&amp;AN6&amp;"','"&amp;AO6&amp;"','"&amp;AP6&amp;"','"&amp;AQ6&amp;"','"&amp;AR6&amp;"','"&amp;AS6&amp;"','"&amp;AT6&amp;"','"&amp;AU6&amp;"','"&amp;AV6&amp;"','"&amp;AW6&amp;"','"&amp;AX6&amp;"','"&amp;AY6&amp;"','"&amp;AZ6&amp;"','"&amp;BA6&amp;"','"&amp;BB6&amp;"','"&amp;BC6&amp;"','"&amp;BD6&amp;"','"&amp;BE6&amp;"','"&amp;BF6&amp;"']),"</f>
        <v>new Food('2705408','Almond milk chocolate','Bev','1','cup','244',['0.57','1.2','7.44','0','43','6.97','0.1','0.31','8','30','33','56','0.18','0.031','0','0.1','38','3.08','0','0','0','0','0','0.033','0.075','0','0','0.32','2.9','0','0','0','0','0','0','0','0','0','0','0','0','0','0','0','0','0','0','0','0','0','0','0.69']),</v>
      </c>
    </row>
    <row r="7" spans="1:59" s="44" customFormat="1" ht="15" customHeight="1">
      <c r="A7" s="98">
        <v>1750340</v>
      </c>
      <c r="B7" s="44" t="s">
        <v>236</v>
      </c>
      <c r="C7" s="50" t="s">
        <v>87</v>
      </c>
      <c r="D7" s="171">
        <v>1</v>
      </c>
      <c r="E7" s="50" t="s">
        <v>405</v>
      </c>
      <c r="F7" s="117"/>
      <c r="G7" s="142">
        <v>0.15</v>
      </c>
      <c r="H7" s="142">
        <v>0.16</v>
      </c>
      <c r="I7" s="142">
        <v>15.65</v>
      </c>
      <c r="J7" s="142">
        <v>0</v>
      </c>
      <c r="K7" s="142">
        <v>65</v>
      </c>
      <c r="L7" s="142">
        <v>13.33</v>
      </c>
      <c r="M7" s="142">
        <v>2.1</v>
      </c>
      <c r="N7" s="142">
        <v>0.02</v>
      </c>
      <c r="O7" s="142">
        <v>5</v>
      </c>
      <c r="P7" s="142">
        <v>10</v>
      </c>
      <c r="Q7" s="142">
        <v>104</v>
      </c>
      <c r="R7" s="142">
        <v>1</v>
      </c>
      <c r="S7" s="142">
        <v>0.02</v>
      </c>
      <c r="T7" s="142">
        <v>3.3000000000000002E-2</v>
      </c>
      <c r="U7" s="142">
        <v>0</v>
      </c>
      <c r="V7" s="142">
        <v>0</v>
      </c>
      <c r="W7" s="142">
        <v>0</v>
      </c>
      <c r="X7" s="142">
        <v>0.18</v>
      </c>
      <c r="Y7" s="142">
        <v>0</v>
      </c>
      <c r="Z7" s="142">
        <v>11</v>
      </c>
      <c r="AA7" s="142">
        <v>29</v>
      </c>
      <c r="AB7" s="142">
        <v>4.5999999999999996</v>
      </c>
      <c r="AC7" s="142">
        <v>6.0000000000000001E-3</v>
      </c>
      <c r="AD7" s="142">
        <v>6.8000000000000005E-2</v>
      </c>
      <c r="AE7" s="142">
        <v>9.0999999999999998E-2</v>
      </c>
      <c r="AF7" s="142">
        <v>0</v>
      </c>
      <c r="AG7" s="142">
        <v>3.5000000000000003E-2</v>
      </c>
      <c r="AH7" s="142">
        <v>0</v>
      </c>
      <c r="AI7" s="142">
        <v>3.4</v>
      </c>
      <c r="AJ7" s="142">
        <v>2.2000000000000002</v>
      </c>
      <c r="AK7" s="142">
        <v>0</v>
      </c>
      <c r="AL7" s="142">
        <v>0</v>
      </c>
      <c r="AM7" s="142">
        <v>0</v>
      </c>
      <c r="AN7" s="142">
        <v>0</v>
      </c>
      <c r="AO7" s="142">
        <v>0</v>
      </c>
      <c r="AP7" s="142">
        <v>0</v>
      </c>
      <c r="AQ7" s="142">
        <v>0</v>
      </c>
      <c r="AR7" s="142">
        <v>0</v>
      </c>
      <c r="AS7" s="142">
        <v>0</v>
      </c>
      <c r="AT7" s="142">
        <v>0</v>
      </c>
      <c r="AU7" s="142">
        <v>0</v>
      </c>
      <c r="AV7" s="142">
        <v>0</v>
      </c>
      <c r="AW7" s="142">
        <v>0</v>
      </c>
      <c r="AX7" s="142">
        <v>0</v>
      </c>
      <c r="AY7" s="142">
        <v>0</v>
      </c>
      <c r="AZ7" s="142">
        <v>0</v>
      </c>
      <c r="BA7" s="142">
        <v>0</v>
      </c>
      <c r="BB7" s="142">
        <v>0</v>
      </c>
      <c r="BC7" s="142">
        <v>0</v>
      </c>
      <c r="BD7" s="142">
        <v>0</v>
      </c>
      <c r="BE7" s="142">
        <v>0</v>
      </c>
      <c r="BF7" s="142">
        <v>7.0000000000000001E-3</v>
      </c>
      <c r="BG7" s="44" t="str">
        <f t="shared" si="0"/>
        <v>new Food('1750340','Apples fuji with skin raw','Fruit','1','med','',['0.15','0.16','15.65','0','65','13.33','2.1','0.02','5','10','104','1','0.02','0.033','0','0','0','0.18','0','11','29','4.6','0.006','0.068','0.091','0','0.035','0','3.4','2.2','0','0','0','0','0','0','0','0','0','0','0','0','0','0','0','0','0','0','0','0','0','0.007']),</v>
      </c>
    </row>
    <row r="8" spans="1:59" s="44" customFormat="1" ht="15" customHeight="1">
      <c r="A8" s="98">
        <v>1750341</v>
      </c>
      <c r="B8" s="44" t="s">
        <v>237</v>
      </c>
      <c r="C8" s="50" t="s">
        <v>87</v>
      </c>
      <c r="D8" s="171">
        <v>1</v>
      </c>
      <c r="E8" s="50" t="s">
        <v>405</v>
      </c>
      <c r="F8" s="117"/>
      <c r="G8" s="142">
        <v>0.13</v>
      </c>
      <c r="H8" s="142">
        <v>0.15</v>
      </c>
      <c r="I8" s="142">
        <v>14.77</v>
      </c>
      <c r="J8" s="142">
        <v>0</v>
      </c>
      <c r="K8" s="142">
        <v>61</v>
      </c>
      <c r="L8" s="142">
        <v>11.84</v>
      </c>
      <c r="M8" s="142">
        <v>2.1</v>
      </c>
      <c r="N8" s="142">
        <v>0.06</v>
      </c>
      <c r="O8" s="142">
        <v>5</v>
      </c>
      <c r="P8" s="142">
        <v>8</v>
      </c>
      <c r="Q8" s="142">
        <v>106</v>
      </c>
      <c r="R8" s="142">
        <v>0</v>
      </c>
      <c r="S8" s="142">
        <v>0.02</v>
      </c>
      <c r="T8" s="142">
        <v>3.4000000000000002E-2</v>
      </c>
      <c r="U8" s="142">
        <v>0</v>
      </c>
      <c r="V8" s="142">
        <v>0</v>
      </c>
      <c r="W8" s="142">
        <v>0</v>
      </c>
      <c r="X8" s="142">
        <v>0.18</v>
      </c>
      <c r="Y8" s="142">
        <v>0</v>
      </c>
      <c r="Z8" s="142">
        <v>11</v>
      </c>
      <c r="AA8" s="142">
        <v>29</v>
      </c>
      <c r="AB8" s="142">
        <v>4.5999999999999996</v>
      </c>
      <c r="AC8" s="142">
        <v>1.0999999999999999E-2</v>
      </c>
      <c r="AD8" s="142">
        <v>6.9000000000000006E-2</v>
      </c>
      <c r="AE8" s="142">
        <v>8.8999999999999996E-2</v>
      </c>
      <c r="AF8" s="142">
        <v>0</v>
      </c>
      <c r="AG8" s="142">
        <v>3.2000000000000001E-2</v>
      </c>
      <c r="AH8" s="142">
        <v>0</v>
      </c>
      <c r="AI8" s="142">
        <v>3.4</v>
      </c>
      <c r="AJ8" s="142">
        <v>2.2000000000000002</v>
      </c>
      <c r="AK8" s="142">
        <v>1</v>
      </c>
      <c r="AL8" s="142">
        <v>1</v>
      </c>
      <c r="AM8" s="142">
        <v>0</v>
      </c>
      <c r="AN8" s="142">
        <v>0</v>
      </c>
      <c r="AO8" s="142">
        <v>0</v>
      </c>
      <c r="AP8" s="142">
        <v>0</v>
      </c>
      <c r="AQ8" s="142">
        <v>0</v>
      </c>
      <c r="AR8" s="142">
        <v>0</v>
      </c>
      <c r="AS8" s="142">
        <v>0</v>
      </c>
      <c r="AT8" s="142">
        <v>0</v>
      </c>
      <c r="AU8" s="142">
        <v>0</v>
      </c>
      <c r="AV8" s="142">
        <v>0</v>
      </c>
      <c r="AW8" s="142">
        <v>0</v>
      </c>
      <c r="AX8" s="142">
        <v>0</v>
      </c>
      <c r="AY8" s="142">
        <v>0</v>
      </c>
      <c r="AZ8" s="142">
        <v>0</v>
      </c>
      <c r="BA8" s="142">
        <v>0</v>
      </c>
      <c r="BB8" s="142">
        <v>0</v>
      </c>
      <c r="BC8" s="142">
        <v>0</v>
      </c>
      <c r="BD8" s="142">
        <v>0</v>
      </c>
      <c r="BE8" s="142">
        <v>0</v>
      </c>
      <c r="BF8" s="142">
        <v>7.0000000000000001E-3</v>
      </c>
      <c r="BG8" s="44" t="str">
        <f t="shared" si="0"/>
        <v>new Food('1750341','Apples gala with skin raw','Fruit','1','med','',['0.13','0.15','14.77','0','61','11.84','2.1','0.06','5','8','106','0','0.02','0.034','0','0','0','0.18','0','11','29','4.6','0.011','0.069','0.089','0','0.032','0','3.4','2.2','1','1','0','0','0','0','0','0','0','0','0','0','0','0','0','0','0','0','0','0','0','0.007']),</v>
      </c>
    </row>
    <row r="9" spans="1:59" s="44" customFormat="1" ht="15" customHeight="1">
      <c r="A9" s="98">
        <v>1750343</v>
      </c>
      <c r="B9" s="44" t="s">
        <v>238</v>
      </c>
      <c r="C9" s="50" t="s">
        <v>87</v>
      </c>
      <c r="D9" s="171">
        <v>1</v>
      </c>
      <c r="E9" s="50" t="s">
        <v>405</v>
      </c>
      <c r="F9" s="117"/>
      <c r="G9" s="142">
        <v>0.1</v>
      </c>
      <c r="H9" s="142">
        <v>0.1</v>
      </c>
      <c r="I9" s="142">
        <v>14.68</v>
      </c>
      <c r="J9" s="142">
        <v>0</v>
      </c>
      <c r="K9" s="142">
        <v>60</v>
      </c>
      <c r="L9" s="142">
        <v>12.37</v>
      </c>
      <c r="M9" s="142">
        <v>1.7</v>
      </c>
      <c r="N9" s="142">
        <v>0</v>
      </c>
      <c r="O9" s="142">
        <v>4</v>
      </c>
      <c r="P9" s="142">
        <v>8</v>
      </c>
      <c r="Q9" s="142">
        <v>98</v>
      </c>
      <c r="R9" s="142">
        <v>0</v>
      </c>
      <c r="S9" s="142">
        <v>0.02</v>
      </c>
      <c r="T9" s="142">
        <v>2.3E-2</v>
      </c>
      <c r="U9" s="142">
        <v>0</v>
      </c>
      <c r="V9" s="142">
        <v>0</v>
      </c>
      <c r="W9" s="142">
        <v>0</v>
      </c>
      <c r="X9" s="142">
        <v>0.18</v>
      </c>
      <c r="Y9" s="142">
        <v>0</v>
      </c>
      <c r="Z9" s="142">
        <v>11</v>
      </c>
      <c r="AA9" s="142">
        <v>29</v>
      </c>
      <c r="AB9" s="142">
        <v>4.5999999999999996</v>
      </c>
      <c r="AC9" s="142">
        <v>8.9999999999999993E-3</v>
      </c>
      <c r="AD9" s="142">
        <v>7.3999999999999996E-2</v>
      </c>
      <c r="AE9" s="142">
        <v>7.3999999999999996E-2</v>
      </c>
      <c r="AF9" s="142">
        <v>0</v>
      </c>
      <c r="AG9" s="142">
        <v>3.3000000000000002E-2</v>
      </c>
      <c r="AH9" s="142">
        <v>0</v>
      </c>
      <c r="AI9" s="142">
        <v>3.4</v>
      </c>
      <c r="AJ9" s="142">
        <v>2.2000000000000002</v>
      </c>
      <c r="AK9" s="142">
        <v>0</v>
      </c>
      <c r="AL9" s="142">
        <v>0</v>
      </c>
      <c r="AM9" s="142">
        <v>0</v>
      </c>
      <c r="AN9" s="142">
        <v>0</v>
      </c>
      <c r="AO9" s="142">
        <v>0</v>
      </c>
      <c r="AP9" s="142">
        <v>0</v>
      </c>
      <c r="AQ9" s="142">
        <v>0</v>
      </c>
      <c r="AR9" s="142">
        <v>0</v>
      </c>
      <c r="AS9" s="142">
        <v>0</v>
      </c>
      <c r="AT9" s="142">
        <v>0</v>
      </c>
      <c r="AU9" s="142">
        <v>0</v>
      </c>
      <c r="AV9" s="142">
        <v>0</v>
      </c>
      <c r="AW9" s="142">
        <v>0</v>
      </c>
      <c r="AX9" s="142">
        <v>0</v>
      </c>
      <c r="AY9" s="142">
        <v>0</v>
      </c>
      <c r="AZ9" s="142">
        <v>0</v>
      </c>
      <c r="BA9" s="142">
        <v>0</v>
      </c>
      <c r="BB9" s="142">
        <v>0</v>
      </c>
      <c r="BC9" s="142">
        <v>0</v>
      </c>
      <c r="BD9" s="142">
        <v>0</v>
      </c>
      <c r="BE9" s="142">
        <v>0</v>
      </c>
      <c r="BF9" s="142">
        <v>7.0000000000000001E-3</v>
      </c>
      <c r="BG9" s="44" t="str">
        <f t="shared" si="0"/>
        <v>new Food('1750343','Apples honeycrisp with skin raw','Fruit','1','med','',['0.1','0.1','14.68','0','60','12.37','1.7','0','4','8','98','0','0.02','0.023','0','0','0','0.18','0','11','29','4.6','0.009','0.074','0.074','0','0.033','0','3.4','2.2','0','0','0','0','0','0','0','0','0','0','0','0','0','0','0','0','0','0','0','0','0','0.007']),</v>
      </c>
    </row>
    <row r="10" spans="1:59" s="44" customFormat="1" ht="15" customHeight="1">
      <c r="A10" s="98">
        <v>171705</v>
      </c>
      <c r="B10" s="44" t="s">
        <v>373</v>
      </c>
      <c r="C10" s="50" t="s">
        <v>87</v>
      </c>
      <c r="D10" s="171">
        <v>1</v>
      </c>
      <c r="E10" s="50" t="s">
        <v>405</v>
      </c>
      <c r="F10" s="98"/>
      <c r="G10" s="69">
        <v>2</v>
      </c>
      <c r="H10" s="69">
        <v>14.66</v>
      </c>
      <c r="I10" s="46">
        <v>8.5299999999999994</v>
      </c>
      <c r="J10" s="46">
        <v>0</v>
      </c>
      <c r="K10" s="69">
        <v>160</v>
      </c>
      <c r="L10" s="80">
        <v>0.66</v>
      </c>
      <c r="M10" s="80">
        <v>6.7</v>
      </c>
      <c r="N10" s="80">
        <v>0.55000000000000004</v>
      </c>
      <c r="O10" s="80">
        <v>0.28999999999999998</v>
      </c>
      <c r="P10" s="80">
        <v>52</v>
      </c>
      <c r="Q10" s="80">
        <v>485</v>
      </c>
      <c r="R10" s="80">
        <v>7</v>
      </c>
      <c r="S10" s="80">
        <v>0.64</v>
      </c>
      <c r="T10" s="80">
        <v>0.19</v>
      </c>
      <c r="U10" s="80">
        <v>0</v>
      </c>
      <c r="V10" s="80">
        <v>0.04</v>
      </c>
      <c r="W10" s="80">
        <v>0</v>
      </c>
      <c r="X10" s="80">
        <v>2.0699999999999998</v>
      </c>
      <c r="Y10" s="80">
        <v>0</v>
      </c>
      <c r="Z10" s="80">
        <v>28</v>
      </c>
      <c r="AA10" s="46">
        <v>271</v>
      </c>
      <c r="AB10" s="46">
        <v>10</v>
      </c>
      <c r="AC10" s="46">
        <v>6.7000000000000004E-2</v>
      </c>
      <c r="AD10" s="46">
        <v>0.13</v>
      </c>
      <c r="AE10" s="46">
        <v>1.738</v>
      </c>
      <c r="AF10" s="46">
        <v>0</v>
      </c>
      <c r="AG10" s="46">
        <v>0.25700000000000001</v>
      </c>
      <c r="AH10" s="46">
        <v>0</v>
      </c>
      <c r="AI10" s="46">
        <v>14.2</v>
      </c>
      <c r="AJ10" s="46">
        <v>21</v>
      </c>
      <c r="AK10" s="46">
        <v>81</v>
      </c>
      <c r="AL10" s="46">
        <v>81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0</v>
      </c>
      <c r="BF10" s="46">
        <v>9.7989999999999995</v>
      </c>
      <c r="BG10" s="44" t="str">
        <f t="shared" si="0"/>
        <v>new Food('171705','Avocados raw ','Fruit','1','med','',['2','14.66','8.53','0','160','0.66','6.7','0.55','0.29','52','485','7','0.64','0.19','0','0.04','0','2.07','0','28','271','10','0.067','0.13','1.738','0','0.257','0','14.2','21','81','81','0','0','0','0','0','0','0','0','0','0','0','0','0','0','0','0','0','0','0','9.799']),</v>
      </c>
    </row>
    <row r="11" spans="1:59" s="44" customFormat="1" ht="15" customHeight="1">
      <c r="A11" s="98">
        <v>167582</v>
      </c>
      <c r="B11" s="44" t="s">
        <v>251</v>
      </c>
      <c r="C11" s="60" t="s">
        <v>285</v>
      </c>
      <c r="D11" s="174">
        <v>1</v>
      </c>
      <c r="E11" s="60" t="s">
        <v>406</v>
      </c>
      <c r="F11" s="63"/>
      <c r="G11" s="165">
        <v>5.4</v>
      </c>
      <c r="H11" s="165">
        <v>21.6</v>
      </c>
      <c r="I11" s="141">
        <v>64.8</v>
      </c>
      <c r="J11" s="141">
        <v>0</v>
      </c>
      <c r="K11" s="165">
        <v>475</v>
      </c>
      <c r="L11" s="142">
        <v>54</v>
      </c>
      <c r="M11" s="142">
        <v>2</v>
      </c>
      <c r="N11" s="142">
        <v>0.63</v>
      </c>
      <c r="O11" s="142">
        <v>43</v>
      </c>
      <c r="P11" s="142">
        <v>94</v>
      </c>
      <c r="Q11" s="142">
        <v>249</v>
      </c>
      <c r="R11" s="142">
        <v>230</v>
      </c>
      <c r="S11" s="142">
        <v>0.72</v>
      </c>
      <c r="T11" s="142">
        <v>0.22500000000000001</v>
      </c>
      <c r="U11" s="142">
        <v>0</v>
      </c>
      <c r="V11" s="142">
        <v>2.5</v>
      </c>
      <c r="W11" s="142">
        <v>0</v>
      </c>
      <c r="X11" s="165">
        <v>0.93</v>
      </c>
      <c r="Y11" s="165">
        <v>0</v>
      </c>
      <c r="Z11" s="165">
        <v>0</v>
      </c>
      <c r="AA11" s="142">
        <v>0</v>
      </c>
      <c r="AB11" s="142">
        <v>0</v>
      </c>
      <c r="AC11" s="142">
        <v>5.8000000000000003E-2</v>
      </c>
      <c r="AD11" s="142">
        <v>0.121</v>
      </c>
      <c r="AE11" s="142">
        <v>1.2509999999999999</v>
      </c>
      <c r="AF11" s="142">
        <v>0</v>
      </c>
      <c r="AG11" s="142">
        <v>4.2000000000000003E-2</v>
      </c>
      <c r="AH11" s="142">
        <v>0.06</v>
      </c>
      <c r="AI11" s="142">
        <v>34.9</v>
      </c>
      <c r="AJ11" s="142">
        <v>2.2999999999999998</v>
      </c>
      <c r="AK11" s="142">
        <v>12</v>
      </c>
      <c r="AL11" s="142">
        <v>12</v>
      </c>
      <c r="AM11" s="142">
        <v>0</v>
      </c>
      <c r="AN11" s="142">
        <v>0</v>
      </c>
      <c r="AO11" s="142">
        <v>0</v>
      </c>
      <c r="AP11" s="142">
        <v>0</v>
      </c>
      <c r="AQ11" s="142">
        <v>0</v>
      </c>
      <c r="AR11" s="142">
        <v>0</v>
      </c>
      <c r="AS11" s="142">
        <v>0</v>
      </c>
      <c r="AT11" s="142">
        <v>0</v>
      </c>
      <c r="AU11" s="142">
        <v>0</v>
      </c>
      <c r="AV11" s="142">
        <v>0</v>
      </c>
      <c r="AW11" s="142">
        <v>0</v>
      </c>
      <c r="AX11" s="142">
        <v>0</v>
      </c>
      <c r="AY11" s="142">
        <v>0</v>
      </c>
      <c r="AZ11" s="142">
        <v>0</v>
      </c>
      <c r="BA11" s="142">
        <v>0</v>
      </c>
      <c r="BB11" s="142">
        <v>0</v>
      </c>
      <c r="BC11" s="142">
        <v>0</v>
      </c>
      <c r="BD11" s="142">
        <v>0</v>
      </c>
      <c r="BE11" s="142">
        <v>0</v>
      </c>
      <c r="BF11" s="142">
        <v>5.5570000000000004</v>
      </c>
      <c r="BG11" s="44" t="str">
        <f t="shared" si="0"/>
        <v>new Food('167582','Baby Ruth Candy Bar','Snack','1','bar','',['5.4','21.6','64.8','0','475','54','2','0.63','43','94','249','230','0.72','0.225','0','2.5','0','0.93','0','0','0','0','0.058','0.121','1.251','0','0.042','0.06','34.9','2.3','12','12','0','0','0','0','0','0','0','0','0','0','0','0','0','0','0','0','0','0','0','5.557']),</v>
      </c>
    </row>
    <row r="12" spans="1:59" s="44" customFormat="1" ht="15" customHeight="1">
      <c r="A12" s="100">
        <v>169212</v>
      </c>
      <c r="B12" s="64" t="s">
        <v>239</v>
      </c>
      <c r="C12" s="50" t="s">
        <v>311</v>
      </c>
      <c r="D12" s="171">
        <v>1</v>
      </c>
      <c r="E12" s="50"/>
      <c r="F12" s="98">
        <v>100</v>
      </c>
      <c r="G12" s="69">
        <v>1.72</v>
      </c>
      <c r="H12" s="69">
        <v>0.4</v>
      </c>
      <c r="I12" s="46">
        <v>3.22</v>
      </c>
      <c r="J12" s="69">
        <v>0</v>
      </c>
      <c r="K12" s="69">
        <v>19</v>
      </c>
      <c r="L12" s="46">
        <v>1.89</v>
      </c>
      <c r="M12" s="46">
        <v>1.4</v>
      </c>
      <c r="N12" s="46">
        <v>0.32</v>
      </c>
      <c r="O12" s="46">
        <v>4</v>
      </c>
      <c r="P12" s="46">
        <v>25</v>
      </c>
      <c r="Q12" s="46">
        <v>80</v>
      </c>
      <c r="R12" s="46">
        <v>7</v>
      </c>
      <c r="S12" s="46">
        <v>0.65</v>
      </c>
      <c r="T12" s="46">
        <v>0.114</v>
      </c>
      <c r="U12" s="46">
        <v>0</v>
      </c>
      <c r="V12" s="46">
        <v>0.5</v>
      </c>
      <c r="W12" s="46">
        <v>0</v>
      </c>
      <c r="X12" s="46">
        <v>0.63</v>
      </c>
      <c r="Y12" s="69">
        <v>0</v>
      </c>
      <c r="Z12" s="69">
        <v>0</v>
      </c>
      <c r="AA12" s="69">
        <v>0</v>
      </c>
      <c r="AB12" s="46">
        <v>1.1000000000000001</v>
      </c>
      <c r="AC12" s="46">
        <v>2.5999999999999999E-2</v>
      </c>
      <c r="AD12" s="46">
        <v>2.5999999999999999E-2</v>
      </c>
      <c r="AE12" s="46">
        <v>0.14000000000000001</v>
      </c>
      <c r="AF12" s="46">
        <v>0</v>
      </c>
      <c r="AG12" s="46">
        <v>0.13600000000000001</v>
      </c>
      <c r="AH12" s="46">
        <v>0</v>
      </c>
      <c r="AI12" s="46">
        <v>0</v>
      </c>
      <c r="AJ12" s="46">
        <v>0</v>
      </c>
      <c r="AK12" s="46">
        <v>3</v>
      </c>
      <c r="AL12" s="46">
        <v>3</v>
      </c>
      <c r="AM12" s="46">
        <v>0</v>
      </c>
      <c r="AN12" s="46">
        <v>0</v>
      </c>
      <c r="AO12" s="46">
        <v>0</v>
      </c>
      <c r="AP12" s="46">
        <v>0</v>
      </c>
      <c r="AQ12" s="69">
        <v>0</v>
      </c>
      <c r="AR12" s="69">
        <v>0</v>
      </c>
      <c r="AS12" s="69">
        <v>0</v>
      </c>
      <c r="AT12" s="69">
        <v>0</v>
      </c>
      <c r="AU12" s="46">
        <v>0</v>
      </c>
      <c r="AV12" s="46">
        <v>0</v>
      </c>
      <c r="AW12" s="46">
        <v>0</v>
      </c>
      <c r="AX12" s="46">
        <v>0</v>
      </c>
      <c r="AY12" s="46">
        <v>0</v>
      </c>
      <c r="AZ12" s="46">
        <v>0</v>
      </c>
      <c r="BA12" s="46">
        <v>0</v>
      </c>
      <c r="BB12" s="46">
        <v>0</v>
      </c>
      <c r="BC12" s="46">
        <v>0</v>
      </c>
      <c r="BD12" s="46">
        <v>0</v>
      </c>
      <c r="BE12" s="46">
        <v>0</v>
      </c>
      <c r="BF12" s="46">
        <v>8.9999999999999993E-3</v>
      </c>
      <c r="BG12" s="44" t="str">
        <f t="shared" si="0"/>
        <v>new Food('169212','Bamboo shoots canned drained solids','Ingred','1','','100',['1.72','0.4','3.22','0','19','1.89','1.4','0.32','4','25','80','7','0.65','0.114','0','0.5','0','0.63','0','0','0','1.1','0.026','0.026','0.14','0','0.136','0','0','0','3','3','0','0','0','0','0','0','0','0','0','0','0','0','0','0','0','0','0','0','0','0.009']),</v>
      </c>
    </row>
    <row r="13" spans="1:59" s="44" customFormat="1" ht="15" customHeight="1">
      <c r="A13" s="98">
        <v>1105073</v>
      </c>
      <c r="B13" s="44" t="s">
        <v>281</v>
      </c>
      <c r="C13" s="50" t="s">
        <v>87</v>
      </c>
      <c r="D13" s="171">
        <v>1</v>
      </c>
      <c r="E13" s="50" t="s">
        <v>405</v>
      </c>
      <c r="F13" s="117"/>
      <c r="G13" s="143">
        <v>2.33</v>
      </c>
      <c r="H13" s="143">
        <v>1.45</v>
      </c>
      <c r="I13" s="117">
        <v>13.1</v>
      </c>
      <c r="J13" s="143">
        <v>0</v>
      </c>
      <c r="K13" s="143">
        <v>75</v>
      </c>
      <c r="L13" s="117">
        <v>11.5</v>
      </c>
      <c r="M13" s="117">
        <v>0.6</v>
      </c>
      <c r="N13" s="117">
        <v>0.04</v>
      </c>
      <c r="O13" s="117">
        <v>14</v>
      </c>
      <c r="P13" s="117">
        <v>72</v>
      </c>
      <c r="Q13" s="117">
        <v>169</v>
      </c>
      <c r="R13" s="117">
        <v>26</v>
      </c>
      <c r="S13" s="117">
        <v>0.32</v>
      </c>
      <c r="T13" s="117">
        <v>3.5999999999999997E-2</v>
      </c>
      <c r="U13" s="117">
        <v>0</v>
      </c>
      <c r="V13" s="117">
        <v>1.3</v>
      </c>
      <c r="W13" s="117">
        <v>36</v>
      </c>
      <c r="X13" s="117">
        <v>0.08</v>
      </c>
      <c r="Y13" s="117">
        <v>0</v>
      </c>
      <c r="Z13" s="117">
        <v>0</v>
      </c>
      <c r="AA13" s="117">
        <v>7</v>
      </c>
      <c r="AB13" s="117">
        <v>10.199999999999999</v>
      </c>
      <c r="AC13" s="117">
        <v>4.9000000000000002E-2</v>
      </c>
      <c r="AD13" s="117">
        <v>0.09</v>
      </c>
      <c r="AE13" s="117">
        <v>0.24099999999999999</v>
      </c>
      <c r="AF13" s="117">
        <v>0</v>
      </c>
      <c r="AG13" s="117">
        <v>0.08</v>
      </c>
      <c r="AH13" s="117">
        <v>0.35</v>
      </c>
      <c r="AI13" s="117">
        <v>13.9</v>
      </c>
      <c r="AJ13" s="117">
        <v>0.4</v>
      </c>
      <c r="AK13" s="117">
        <v>4</v>
      </c>
      <c r="AL13" s="117">
        <v>4</v>
      </c>
      <c r="AM13" s="117">
        <v>0</v>
      </c>
      <c r="AN13" s="117">
        <v>0</v>
      </c>
      <c r="AO13" s="117">
        <v>0</v>
      </c>
      <c r="AP13" s="117">
        <v>0</v>
      </c>
      <c r="AQ13" s="117">
        <v>0</v>
      </c>
      <c r="AR13" s="117">
        <v>0</v>
      </c>
      <c r="AS13" s="117">
        <v>0</v>
      </c>
      <c r="AT13" s="117">
        <v>0</v>
      </c>
      <c r="AU13" s="117">
        <v>0</v>
      </c>
      <c r="AV13" s="117">
        <v>0</v>
      </c>
      <c r="AW13" s="117">
        <v>0</v>
      </c>
      <c r="AX13" s="117">
        <v>0</v>
      </c>
      <c r="AY13" s="117">
        <v>0</v>
      </c>
      <c r="AZ13" s="117">
        <v>0</v>
      </c>
      <c r="BA13" s="117">
        <v>0</v>
      </c>
      <c r="BB13" s="117">
        <v>0</v>
      </c>
      <c r="BC13" s="117">
        <v>0</v>
      </c>
      <c r="BD13" s="117">
        <v>0</v>
      </c>
      <c r="BE13" s="117">
        <v>6</v>
      </c>
      <c r="BF13" s="117">
        <v>0.3</v>
      </c>
      <c r="BG13" s="44" t="str">
        <f t="shared" si="0"/>
        <v>new Food('1105073','Banana','Fruit','1','med','',['2.33','1.45','13.1','0','75','11.5','0.6','0.04','14','72','169','26','0.32','0.036','0','1.3','36','0.08','0','0','7','10.2','0.049','0.09','0.241','0','0.08','0.35','13.9','0.4','4','4','0','0','0','0','0','0','0','0','0','0','0','0','0','0','0','0','0','0','6','0.3']),</v>
      </c>
    </row>
    <row r="14" spans="1:59" s="44" customFormat="1" ht="15" customHeight="1">
      <c r="A14" s="97">
        <v>170285</v>
      </c>
      <c r="B14" s="57" t="s">
        <v>80</v>
      </c>
      <c r="C14" s="50" t="s">
        <v>311</v>
      </c>
      <c r="D14" s="173">
        <v>0.25</v>
      </c>
      <c r="E14" s="58" t="s">
        <v>70</v>
      </c>
      <c r="F14" s="99">
        <v>157</v>
      </c>
      <c r="G14" s="100">
        <v>39.25</v>
      </c>
      <c r="H14" s="64">
        <v>0.56999999999999995</v>
      </c>
      <c r="I14" s="64">
        <v>0.11</v>
      </c>
      <c r="J14" s="64">
        <v>7.06</v>
      </c>
      <c r="K14" s="66">
        <v>7.0000000000000007E-2</v>
      </c>
      <c r="L14" s="44">
        <v>30.75</v>
      </c>
      <c r="M14" s="44">
        <v>0.02</v>
      </c>
      <c r="N14" s="45">
        <v>0.95</v>
      </c>
      <c r="O14" s="45">
        <v>0.33</v>
      </c>
      <c r="P14" s="45">
        <v>5.5</v>
      </c>
      <c r="Q14" s="45">
        <v>13.5</v>
      </c>
      <c r="R14" s="45">
        <v>23.25</v>
      </c>
      <c r="S14" s="45">
        <v>0.75</v>
      </c>
      <c r="T14" s="45">
        <v>0.21</v>
      </c>
      <c r="U14" s="45">
        <v>0.03</v>
      </c>
      <c r="V14" s="45">
        <v>0.06</v>
      </c>
      <c r="W14" s="45">
        <v>2.15</v>
      </c>
      <c r="X14" s="45">
        <v>0</v>
      </c>
      <c r="Y14" s="45">
        <v>0</v>
      </c>
      <c r="Z14" s="46">
        <v>0</v>
      </c>
      <c r="AA14" s="46">
        <v>0</v>
      </c>
      <c r="AB14" s="45">
        <v>14</v>
      </c>
      <c r="AC14" s="45">
        <v>0</v>
      </c>
      <c r="AD14" s="45">
        <v>0.02</v>
      </c>
      <c r="AE14" s="45">
        <v>0.02</v>
      </c>
      <c r="AF14" s="45">
        <v>0.52</v>
      </c>
      <c r="AG14" s="45">
        <v>0.03</v>
      </c>
      <c r="AH14" s="44">
        <v>0.03</v>
      </c>
      <c r="AI14" s="44">
        <v>0</v>
      </c>
      <c r="AJ14" s="44">
        <v>3.35</v>
      </c>
      <c r="AK14" s="44">
        <v>0.2</v>
      </c>
      <c r="AL14" s="44">
        <v>2.75</v>
      </c>
      <c r="AM14" s="44">
        <v>4</v>
      </c>
      <c r="AN14" s="45">
        <v>0</v>
      </c>
      <c r="AO14" s="45">
        <v>0.01</v>
      </c>
      <c r="AP14" s="44">
        <v>0.02</v>
      </c>
      <c r="AQ14" s="44">
        <v>0.02</v>
      </c>
      <c r="AR14" s="45">
        <v>0.04</v>
      </c>
      <c r="AS14" s="44">
        <v>0.02</v>
      </c>
      <c r="AT14" s="44">
        <v>0.01</v>
      </c>
      <c r="AU14" s="44">
        <v>0.01</v>
      </c>
      <c r="AV14" s="44">
        <v>0.03</v>
      </c>
      <c r="AW14" s="44">
        <v>0.02</v>
      </c>
      <c r="AX14" s="44">
        <v>0.03</v>
      </c>
      <c r="AY14" s="44">
        <v>0.03</v>
      </c>
      <c r="AZ14" s="45">
        <v>0.02</v>
      </c>
      <c r="BA14" s="45">
        <v>0.35</v>
      </c>
      <c r="BB14" s="44">
        <v>0.15</v>
      </c>
      <c r="BC14" s="44">
        <v>0.02</v>
      </c>
      <c r="BD14" s="44">
        <v>7.0000000000000007E-2</v>
      </c>
      <c r="BE14" s="44">
        <v>0.02</v>
      </c>
      <c r="BF14" s="44">
        <v>0</v>
      </c>
      <c r="BG14" s="44" t="str">
        <f t="shared" si="0"/>
        <v>new Food('170285','Barley pearled cooked','Ingred','0.25','cup','157',['39.25','0.57','0.11','7.06','0.07','30.75','0.02','0.95','0.33','5.5','13.5','23.25','0.75','0.21','0.03','0.06','2.15','0','0','0','0','14','0','0.02','0.02','0.52','0.03','0.03','0','3.35','0.2','2.75','4','0','0.01','0.02','0.02','0.04','0.02','0.01','0.01','0.03','0.02','0.03','0.03','0.02','0.35','0.15','0.02','0.07','0.02','0']),</v>
      </c>
    </row>
    <row r="15" spans="1:59" s="44" customFormat="1" ht="15" customHeight="1">
      <c r="A15" s="100">
        <v>172232</v>
      </c>
      <c r="B15" s="64" t="s">
        <v>219</v>
      </c>
      <c r="C15" s="50" t="s">
        <v>311</v>
      </c>
      <c r="D15" s="171">
        <v>1</v>
      </c>
      <c r="E15" s="50"/>
      <c r="F15" s="98"/>
      <c r="G15" s="69">
        <v>3.15</v>
      </c>
      <c r="H15" s="69">
        <v>0.64</v>
      </c>
      <c r="I15" s="69">
        <v>2.65</v>
      </c>
      <c r="J15" s="69">
        <v>0</v>
      </c>
      <c r="K15" s="69">
        <v>23</v>
      </c>
      <c r="L15" s="46">
        <v>0.3</v>
      </c>
      <c r="M15" s="46">
        <v>1.6</v>
      </c>
      <c r="N15" s="46">
        <v>3.17</v>
      </c>
      <c r="O15" s="46">
        <v>64</v>
      </c>
      <c r="P15" s="46">
        <v>56</v>
      </c>
      <c r="Q15" s="46">
        <v>295</v>
      </c>
      <c r="R15" s="46">
        <v>4</v>
      </c>
      <c r="S15" s="46">
        <v>0.81</v>
      </c>
      <c r="T15" s="46">
        <v>0.38500000000000001</v>
      </c>
      <c r="U15" s="46">
        <v>0</v>
      </c>
      <c r="V15" s="46">
        <v>0.3</v>
      </c>
      <c r="W15" s="69">
        <v>0</v>
      </c>
      <c r="X15" s="69">
        <v>0.8</v>
      </c>
      <c r="Y15" s="69">
        <v>0</v>
      </c>
      <c r="Z15" s="69">
        <v>46</v>
      </c>
      <c r="AA15" s="80">
        <v>5650</v>
      </c>
      <c r="AB15" s="88">
        <v>18</v>
      </c>
      <c r="AC15" s="69">
        <v>3.4000000000000002E-2</v>
      </c>
      <c r="AD15" s="69">
        <v>7.5999999999999998E-2</v>
      </c>
      <c r="AE15" s="69">
        <v>0.90200000000000002</v>
      </c>
      <c r="AF15" s="69">
        <v>0</v>
      </c>
      <c r="AG15" s="69">
        <v>0.155</v>
      </c>
      <c r="AH15" s="80">
        <v>0</v>
      </c>
      <c r="AI15" s="80">
        <v>11.4</v>
      </c>
      <c r="AJ15" s="80">
        <v>414.8</v>
      </c>
      <c r="AK15" s="80">
        <v>68</v>
      </c>
      <c r="AL15" s="80">
        <v>68</v>
      </c>
      <c r="AM15" s="80">
        <v>0</v>
      </c>
      <c r="AN15" s="80">
        <v>0</v>
      </c>
      <c r="AO15" s="80">
        <v>0</v>
      </c>
      <c r="AP15" s="80">
        <v>0</v>
      </c>
      <c r="AQ15" s="80">
        <v>0</v>
      </c>
      <c r="AR15" s="80">
        <v>0</v>
      </c>
      <c r="AS15" s="80">
        <v>0</v>
      </c>
      <c r="AT15" s="80">
        <v>0</v>
      </c>
      <c r="AU15" s="80">
        <v>0</v>
      </c>
      <c r="AV15" s="80">
        <v>0</v>
      </c>
      <c r="AW15" s="80">
        <v>0</v>
      </c>
      <c r="AX15" s="80">
        <v>0</v>
      </c>
      <c r="AY15" s="80">
        <v>0</v>
      </c>
      <c r="AZ15" s="80">
        <v>0</v>
      </c>
      <c r="BA15" s="80">
        <v>0</v>
      </c>
      <c r="BB15" s="80">
        <v>0</v>
      </c>
      <c r="BC15" s="80">
        <v>0</v>
      </c>
      <c r="BD15" s="80">
        <v>0</v>
      </c>
      <c r="BE15" s="80">
        <v>0</v>
      </c>
      <c r="BF15" s="80">
        <v>8.7999999999999995E-2</v>
      </c>
      <c r="BG15" s="44" t="str">
        <f t="shared" si="0"/>
        <v>new Food('172232','Basil, fresh','Ingred','1','','',['3.15','0.64','2.65','0','23','0.3','1.6','3.17','64','56','295','4','0.81','0.385','0','0.3','0','0.8','0','46','5650','18','0.034','0.076','0.902','0','0.155','0','11.4','414.8','68','68','0','0','0','0','0','0','0','0','0','0','0','0','0','0','0','0','0','0','0','0.088']),</v>
      </c>
    </row>
    <row r="16" spans="1:59" s="44" customFormat="1" ht="15" customHeight="1">
      <c r="A16" s="99">
        <v>173735</v>
      </c>
      <c r="B16" s="61" t="s">
        <v>90</v>
      </c>
      <c r="C16" s="50" t="s">
        <v>311</v>
      </c>
      <c r="D16" s="174">
        <v>1</v>
      </c>
      <c r="E16" s="60" t="s">
        <v>70</v>
      </c>
      <c r="F16" s="99">
        <v>172</v>
      </c>
      <c r="G16" s="64">
        <v>8.86</v>
      </c>
      <c r="H16" s="64">
        <v>0.54</v>
      </c>
      <c r="I16" s="64">
        <v>23.71</v>
      </c>
      <c r="J16" s="68">
        <v>1.1499999999999999</v>
      </c>
      <c r="K16" s="64">
        <v>132</v>
      </c>
      <c r="L16" s="45">
        <v>0.32</v>
      </c>
      <c r="M16" s="45">
        <v>8.6999999999999993</v>
      </c>
      <c r="N16" s="45">
        <v>2.1</v>
      </c>
      <c r="O16" s="45">
        <v>70</v>
      </c>
      <c r="P16" s="45">
        <v>140</v>
      </c>
      <c r="Q16" s="45">
        <v>355</v>
      </c>
      <c r="R16" s="45">
        <v>1</v>
      </c>
      <c r="S16" s="45">
        <v>1.1200000000000001</v>
      </c>
      <c r="T16" s="45">
        <v>0.28999999999999998</v>
      </c>
      <c r="U16" s="45">
        <v>0.44400000000000001</v>
      </c>
      <c r="V16" s="45">
        <v>1.2</v>
      </c>
      <c r="W16" s="45">
        <v>0</v>
      </c>
      <c r="X16" s="45">
        <v>0.87</v>
      </c>
      <c r="Y16" s="45">
        <v>0</v>
      </c>
      <c r="Z16" s="46">
        <v>0</v>
      </c>
      <c r="AA16" s="62">
        <v>0</v>
      </c>
      <c r="AB16" s="44">
        <v>0</v>
      </c>
      <c r="AC16" s="44">
        <v>0.24399999999999999</v>
      </c>
      <c r="AD16" s="44">
        <v>5.8999999999999997E-2</v>
      </c>
      <c r="AE16" s="44">
        <v>0.505</v>
      </c>
      <c r="AF16" s="44">
        <v>0.24199999999999999</v>
      </c>
      <c r="AG16" s="44">
        <v>6.9000000000000006E-2</v>
      </c>
      <c r="AH16" s="44">
        <v>0</v>
      </c>
      <c r="AI16" s="44">
        <v>32.6</v>
      </c>
      <c r="AJ16" s="44">
        <v>3.3</v>
      </c>
      <c r="AK16" s="44">
        <v>27</v>
      </c>
      <c r="AL16" s="44">
        <v>149</v>
      </c>
      <c r="AM16" s="61">
        <v>0</v>
      </c>
      <c r="AN16" s="44">
        <v>0.105</v>
      </c>
      <c r="AO16" s="44">
        <v>0.373</v>
      </c>
      <c r="AP16" s="44">
        <v>0.39100000000000001</v>
      </c>
      <c r="AQ16" s="44">
        <v>0.70799999999999996</v>
      </c>
      <c r="AR16" s="44">
        <v>8.0000000000000002E-3</v>
      </c>
      <c r="AS16" s="44">
        <v>0.13300000000000001</v>
      </c>
      <c r="AT16" s="44">
        <v>9.6000000000000002E-2</v>
      </c>
      <c r="AU16" s="44">
        <v>0.47899999999999998</v>
      </c>
      <c r="AV16" s="44">
        <v>0.25</v>
      </c>
      <c r="AW16" s="44">
        <v>0.40400000000000003</v>
      </c>
      <c r="AX16" s="63">
        <v>0.54900000000000004</v>
      </c>
      <c r="AY16" s="57">
        <v>0.372</v>
      </c>
      <c r="AZ16" s="63">
        <v>1.0720000000000001</v>
      </c>
      <c r="BA16" s="44">
        <v>1.351</v>
      </c>
      <c r="BB16" s="44">
        <v>0.34599999999999997</v>
      </c>
      <c r="BC16" s="44">
        <v>0.376</v>
      </c>
      <c r="BD16" s="44">
        <v>0.48199999999999998</v>
      </c>
      <c r="BE16" s="44">
        <v>0</v>
      </c>
      <c r="BF16" s="44">
        <v>4.7E-2</v>
      </c>
      <c r="BG16" s="44" t="str">
        <f t="shared" si="0"/>
        <v>new Food('173735','Beans black','Ingred','1','cup','172',['8.86','0.54','23.71','1.15','132','0.32','8.7','2.1','70','140','355','1','1.12','0.29','0.444','1.2','0','0.87','0','0','0','0','0.244','0.059','0.505','0.242','0.069','0','32.6','3.3','27','149','0','0.105','0.373','0.391','0.708','0.008','0.133','0.096','0.479','0.25','0.404','0.549','0.372','1.072','1.351','0.346','0.376','0.482','0','0.047']),</v>
      </c>
    </row>
    <row r="17" spans="1:71" s="44" customFormat="1" ht="15" customHeight="1">
      <c r="A17" s="99">
        <v>175187</v>
      </c>
      <c r="B17" s="61" t="s">
        <v>91</v>
      </c>
      <c r="C17" s="50" t="s">
        <v>311</v>
      </c>
      <c r="D17" s="173">
        <v>1</v>
      </c>
      <c r="E17" s="58" t="s">
        <v>70</v>
      </c>
      <c r="F17" s="97">
        <v>185</v>
      </c>
      <c r="G17" s="64">
        <v>8.18</v>
      </c>
      <c r="H17" s="64">
        <v>0.35</v>
      </c>
      <c r="I17" s="61">
        <v>20</v>
      </c>
      <c r="J17" s="68">
        <v>1.38</v>
      </c>
      <c r="K17" s="65">
        <v>130</v>
      </c>
      <c r="L17" s="44">
        <v>0.32</v>
      </c>
      <c r="M17" s="56">
        <v>8.3000000000000007</v>
      </c>
      <c r="N17" s="44">
        <v>2.85</v>
      </c>
      <c r="O17" s="44">
        <v>49</v>
      </c>
      <c r="P17" s="44">
        <v>152</v>
      </c>
      <c r="Q17" s="44">
        <v>433</v>
      </c>
      <c r="R17" s="44">
        <v>3</v>
      </c>
      <c r="S17" s="44">
        <v>0.76</v>
      </c>
      <c r="T17" s="56">
        <v>0.26900000000000002</v>
      </c>
      <c r="U17" s="44">
        <v>0.32700000000000001</v>
      </c>
      <c r="V17" s="44">
        <v>1.2</v>
      </c>
      <c r="W17" s="45">
        <v>0</v>
      </c>
      <c r="X17" s="45">
        <v>0.87</v>
      </c>
      <c r="Y17" s="45">
        <v>0</v>
      </c>
      <c r="Z17" s="57">
        <v>0</v>
      </c>
      <c r="AA17" s="62">
        <v>0</v>
      </c>
      <c r="AB17" s="45">
        <v>0</v>
      </c>
      <c r="AC17" s="45">
        <v>0.22500000000000001</v>
      </c>
      <c r="AD17" s="44">
        <v>5.6000000000000001E-2</v>
      </c>
      <c r="AE17" s="44">
        <v>0.52700000000000002</v>
      </c>
      <c r="AF17" s="45">
        <v>0.26</v>
      </c>
      <c r="AG17" s="44">
        <v>7.6999999999999999E-2</v>
      </c>
      <c r="AH17" s="44">
        <v>0</v>
      </c>
      <c r="AI17" s="61">
        <v>32.6</v>
      </c>
      <c r="AJ17" s="44">
        <v>3.3</v>
      </c>
      <c r="AK17" s="63">
        <v>88</v>
      </c>
      <c r="AL17" s="61">
        <v>86</v>
      </c>
      <c r="AM17" s="61">
        <v>0</v>
      </c>
      <c r="AN17" s="44">
        <v>9.7000000000000003E-2</v>
      </c>
      <c r="AO17" s="44">
        <v>0.34399999999999997</v>
      </c>
      <c r="AP17" s="45">
        <v>0.36099999999999999</v>
      </c>
      <c r="AQ17" s="44">
        <v>0.65300000000000002</v>
      </c>
      <c r="AR17" s="45">
        <v>0.56200000000000006</v>
      </c>
      <c r="AS17" s="45">
        <v>0.123</v>
      </c>
      <c r="AT17" s="63">
        <v>8.8999999999999996E-2</v>
      </c>
      <c r="AU17" s="45">
        <v>0.442</v>
      </c>
      <c r="AV17" s="44">
        <v>0.23</v>
      </c>
      <c r="AW17" s="44">
        <v>0.42799999999999999</v>
      </c>
      <c r="AX17" s="63">
        <v>0.50700000000000001</v>
      </c>
      <c r="AY17" s="61">
        <v>0.34300000000000003</v>
      </c>
      <c r="AZ17" s="61">
        <v>0.98</v>
      </c>
      <c r="BA17" s="57">
        <v>1.2470000000000001</v>
      </c>
      <c r="BB17" s="63">
        <v>0.31900000000000001</v>
      </c>
      <c r="BC17" s="44">
        <v>0.34699999999999998</v>
      </c>
      <c r="BD17" s="44">
        <v>0.44500000000000001</v>
      </c>
      <c r="BE17" s="63">
        <v>0</v>
      </c>
      <c r="BF17" s="61">
        <v>0.03</v>
      </c>
      <c r="BG17" s="44" t="str">
        <f t="shared" si="0"/>
        <v>new Food('175187','Beans black turtle','Ingred','1','cup','185',['8.18','0.35','20','1.38','130','0.32','8.3','2.85','49','152','433','3','0.76','0.269','0.327','1.2','0','0.87','0','0','0','0','0.225','0.056','0.527','0.26','0.077','0','32.6','3.3','88','86','0','0.097','0.344','0.361','0.653','0.562','0.123','0.089','0.442','0.23','0.428','0.507','0.343','0.98','1.247','0.319','0.347','0.445','0','0.03']),</v>
      </c>
    </row>
    <row r="18" spans="1:71" s="44" customFormat="1" ht="15" customHeight="1">
      <c r="A18" s="98">
        <v>175192</v>
      </c>
      <c r="B18" s="44" t="s">
        <v>260</v>
      </c>
      <c r="C18" s="50" t="s">
        <v>311</v>
      </c>
      <c r="D18" s="173">
        <v>1</v>
      </c>
      <c r="E18" s="58" t="s">
        <v>70</v>
      </c>
      <c r="F18" s="98"/>
      <c r="G18" s="69">
        <v>7.37</v>
      </c>
      <c r="H18" s="69">
        <v>0.39</v>
      </c>
      <c r="I18" s="69">
        <v>21.02</v>
      </c>
      <c r="J18" s="69">
        <v>0</v>
      </c>
      <c r="K18" s="69">
        <v>114</v>
      </c>
      <c r="L18" s="62">
        <v>1.41</v>
      </c>
      <c r="M18" s="62">
        <v>4.9000000000000004</v>
      </c>
      <c r="N18" s="46">
        <v>1.57</v>
      </c>
      <c r="O18" s="56">
        <v>51</v>
      </c>
      <c r="P18" s="46">
        <v>1.36</v>
      </c>
      <c r="Q18" s="46">
        <v>351</v>
      </c>
      <c r="R18" s="46">
        <v>370</v>
      </c>
      <c r="S18" s="46">
        <v>0.65</v>
      </c>
      <c r="T18" s="56">
        <v>0.16</v>
      </c>
      <c r="U18" s="56">
        <v>0</v>
      </c>
      <c r="V18" s="46">
        <v>4.0999999999999996</v>
      </c>
      <c r="W18" s="56">
        <v>0</v>
      </c>
      <c r="X18" s="56">
        <v>0.79</v>
      </c>
      <c r="Y18" s="56">
        <v>0</v>
      </c>
      <c r="Z18" s="56">
        <v>0</v>
      </c>
      <c r="AA18" s="56">
        <v>0</v>
      </c>
      <c r="AB18" s="56">
        <v>1.3</v>
      </c>
      <c r="AC18" s="56">
        <v>0.14299999999999999</v>
      </c>
      <c r="AD18" s="63">
        <v>0.06</v>
      </c>
      <c r="AE18" s="63">
        <v>0.46100000000000002</v>
      </c>
      <c r="AF18" s="57">
        <v>0</v>
      </c>
      <c r="AG18" s="56">
        <v>0.106</v>
      </c>
      <c r="AH18" s="56">
        <v>0</v>
      </c>
      <c r="AI18" s="61">
        <v>29.5</v>
      </c>
      <c r="AJ18" s="56">
        <v>3</v>
      </c>
      <c r="AK18" s="56">
        <v>81</v>
      </c>
      <c r="AL18" s="63">
        <v>81</v>
      </c>
      <c r="AM18" s="63">
        <v>0</v>
      </c>
      <c r="AN18" s="56">
        <v>0</v>
      </c>
      <c r="AO18" s="63">
        <v>0</v>
      </c>
      <c r="AP18" s="63">
        <v>0</v>
      </c>
      <c r="AQ18" s="56">
        <v>0</v>
      </c>
      <c r="AR18" s="56">
        <v>0</v>
      </c>
      <c r="AS18" s="56">
        <v>0</v>
      </c>
      <c r="AT18" s="56">
        <v>0</v>
      </c>
      <c r="AU18" s="56">
        <v>0</v>
      </c>
      <c r="AV18" s="56">
        <v>0</v>
      </c>
      <c r="AW18" s="56">
        <v>0</v>
      </c>
      <c r="AX18" s="56">
        <v>0</v>
      </c>
      <c r="AY18" s="56">
        <v>0</v>
      </c>
      <c r="AZ18" s="56">
        <v>0</v>
      </c>
      <c r="BA18" s="56">
        <v>0</v>
      </c>
      <c r="BB18" s="63">
        <v>0</v>
      </c>
      <c r="BC18" s="56">
        <v>0</v>
      </c>
      <c r="BD18" s="56">
        <v>0</v>
      </c>
      <c r="BE18" s="56">
        <v>0</v>
      </c>
      <c r="BF18" s="56">
        <v>1.7999999999999999E-2</v>
      </c>
      <c r="BG18" s="44" t="str">
        <f t="shared" si="0"/>
        <v>new Food('175192','Beans great northern canned','Ingred','1','cup','',['7.37','0.39','21.02','0','114','1.41','4.9','1.57','51','1.36','351','370','0.65','0.16','0','4.1','0','0.79','0','0','0','1.3','0.143','0.06','0.461','0','0.106','0','29.5','3','81','81','0','0','0','0','0','0','0','0','0','0','0','0','0','0','0','0','0','0','0','0.018']),</v>
      </c>
    </row>
    <row r="19" spans="1:71" s="44" customFormat="1" ht="15" customHeight="1">
      <c r="A19" s="99">
        <v>173740</v>
      </c>
      <c r="B19" s="71" t="s">
        <v>92</v>
      </c>
      <c r="C19" s="50" t="s">
        <v>311</v>
      </c>
      <c r="D19" s="173">
        <v>1</v>
      </c>
      <c r="E19" s="58" t="s">
        <v>70</v>
      </c>
      <c r="F19" s="97">
        <v>177</v>
      </c>
      <c r="G19" s="64">
        <v>8.67</v>
      </c>
      <c r="H19" s="64">
        <v>0.5</v>
      </c>
      <c r="I19" s="68">
        <v>22.8</v>
      </c>
      <c r="J19" s="68">
        <v>1.0900000000000001</v>
      </c>
      <c r="K19" s="65">
        <v>127</v>
      </c>
      <c r="L19" s="44">
        <v>0.32</v>
      </c>
      <c r="M19" s="63">
        <v>6.4</v>
      </c>
      <c r="N19" s="44">
        <v>2.2200000000000002</v>
      </c>
      <c r="O19" s="44">
        <v>42</v>
      </c>
      <c r="P19" s="44">
        <v>138</v>
      </c>
      <c r="Q19" s="44">
        <v>405</v>
      </c>
      <c r="R19" s="44">
        <v>1</v>
      </c>
      <c r="S19" s="44">
        <v>1</v>
      </c>
      <c r="T19" s="63">
        <v>0.216</v>
      </c>
      <c r="U19" s="44">
        <v>0.42</v>
      </c>
      <c r="V19" s="66">
        <v>1.1000000000000001</v>
      </c>
      <c r="W19" s="66">
        <v>0</v>
      </c>
      <c r="X19" s="66">
        <v>0.03</v>
      </c>
      <c r="Y19" s="66">
        <v>0</v>
      </c>
      <c r="Z19" s="61">
        <v>0</v>
      </c>
      <c r="AA19" s="62">
        <v>0</v>
      </c>
      <c r="AB19" s="45">
        <v>1.2</v>
      </c>
      <c r="AC19" s="45">
        <v>0.16</v>
      </c>
      <c r="AD19" s="44">
        <v>5.8000000000000003E-2</v>
      </c>
      <c r="AE19" s="44">
        <v>0.57799999999999996</v>
      </c>
      <c r="AF19" s="45">
        <v>0.22</v>
      </c>
      <c r="AG19" s="44">
        <v>0.12</v>
      </c>
      <c r="AH19" s="44">
        <v>0</v>
      </c>
      <c r="AI19" s="61">
        <v>30.5</v>
      </c>
      <c r="AJ19" s="44">
        <v>8.4</v>
      </c>
      <c r="AK19" s="63">
        <v>35</v>
      </c>
      <c r="AL19" s="61">
        <v>130</v>
      </c>
      <c r="AM19" s="61">
        <v>0.01</v>
      </c>
      <c r="AN19" s="44">
        <v>0.104</v>
      </c>
      <c r="AO19" s="44">
        <v>0.31900000000000001</v>
      </c>
      <c r="AP19" s="45">
        <v>0.41</v>
      </c>
      <c r="AQ19" s="44">
        <v>0.73599999999999999</v>
      </c>
      <c r="AR19" s="45">
        <v>0.60699999999999998</v>
      </c>
      <c r="AS19" s="45">
        <v>0.113</v>
      </c>
      <c r="AT19" s="56">
        <v>8.1000000000000003E-2</v>
      </c>
      <c r="AU19" s="45">
        <v>0.51100000000000001</v>
      </c>
      <c r="AV19" s="44">
        <v>0.20499999999999999</v>
      </c>
      <c r="AW19" s="44">
        <v>0.5</v>
      </c>
      <c r="AX19" s="63">
        <v>4.7E-2</v>
      </c>
      <c r="AY19" s="61">
        <v>0.39400000000000002</v>
      </c>
      <c r="AZ19" s="63">
        <v>1.0860000000000001</v>
      </c>
      <c r="BA19" s="45">
        <v>1.393</v>
      </c>
      <c r="BB19" s="44">
        <v>0.35099999999999998</v>
      </c>
      <c r="BC19" s="44">
        <v>0.496</v>
      </c>
      <c r="BD19" s="44">
        <v>0.54400000000000004</v>
      </c>
      <c r="BE19" s="56">
        <v>0</v>
      </c>
      <c r="BF19" s="61">
        <v>3.9E-2</v>
      </c>
      <c r="BG19" s="44" t="str">
        <f t="shared" si="0"/>
        <v>new Food('173740','Beans kidney ','Ingred','1','cup','177',['8.67','0.5','22.8','1.09','127','0.32','6.4','2.22','42','138','405','1','1','0.216','0.42','1.1','0','0.03','0','0','0','1.2','0.16','0.058','0.578','0.22','0.12','0','30.5','8.4','35','130','0.01','0.104','0.319','0.41','0.736','0.607','0.113','0.081','0.511','0.205','0.5','0.047','0.394','1.086','1.393','0.351','0.496','0.544','0','0.039']),</v>
      </c>
    </row>
    <row r="20" spans="1:71" s="44" customFormat="1" ht="15" customHeight="1">
      <c r="A20" s="99">
        <v>175194</v>
      </c>
      <c r="B20" s="61" t="s">
        <v>93</v>
      </c>
      <c r="C20" s="50" t="s">
        <v>311</v>
      </c>
      <c r="D20" s="173">
        <v>1</v>
      </c>
      <c r="E20" s="58" t="s">
        <v>70</v>
      </c>
      <c r="F20" s="99">
        <v>177</v>
      </c>
      <c r="G20" s="78">
        <v>8.67</v>
      </c>
      <c r="H20" s="78">
        <v>0.5</v>
      </c>
      <c r="I20" s="73">
        <v>22.8</v>
      </c>
      <c r="J20" s="73">
        <v>1.03</v>
      </c>
      <c r="K20" s="74">
        <v>127</v>
      </c>
      <c r="L20" s="45">
        <v>0.32</v>
      </c>
      <c r="M20" s="74">
        <v>7.4</v>
      </c>
      <c r="N20" s="78">
        <v>2.94</v>
      </c>
      <c r="O20" s="78">
        <v>45</v>
      </c>
      <c r="P20" s="78">
        <v>142</v>
      </c>
      <c r="Q20" s="78">
        <v>403</v>
      </c>
      <c r="R20" s="78">
        <v>2</v>
      </c>
      <c r="S20" s="78">
        <v>1.07</v>
      </c>
      <c r="T20" s="74">
        <v>0.24199999999999999</v>
      </c>
      <c r="U20" s="78">
        <v>0.47699999999999998</v>
      </c>
      <c r="V20" s="76">
        <v>1.2</v>
      </c>
      <c r="W20" s="45">
        <v>0</v>
      </c>
      <c r="X20" s="45">
        <v>0.03</v>
      </c>
      <c r="Y20" s="57">
        <v>0</v>
      </c>
      <c r="Z20" s="61">
        <v>0</v>
      </c>
      <c r="AA20" s="62">
        <v>0</v>
      </c>
      <c r="AB20" s="56">
        <v>1.2</v>
      </c>
      <c r="AC20" s="45">
        <v>0.16</v>
      </c>
      <c r="AD20" s="44">
        <v>5.8000000000000003E-2</v>
      </c>
      <c r="AE20" s="44">
        <v>0.57799999999999996</v>
      </c>
      <c r="AF20" s="45">
        <v>0.22</v>
      </c>
      <c r="AG20" s="44">
        <v>0.12</v>
      </c>
      <c r="AH20" s="44">
        <v>0</v>
      </c>
      <c r="AI20" s="61">
        <v>30.5</v>
      </c>
      <c r="AJ20" s="44">
        <v>8.4</v>
      </c>
      <c r="AK20" s="63">
        <v>28</v>
      </c>
      <c r="AL20" s="61">
        <v>130</v>
      </c>
      <c r="AN20" s="44">
        <v>0.10299999999999999</v>
      </c>
      <c r="AO20" s="44">
        <v>0.36499999999999999</v>
      </c>
      <c r="AP20" s="56">
        <v>0.38300000000000001</v>
      </c>
      <c r="AQ20" s="44">
        <v>9.2999999999999999E-2</v>
      </c>
      <c r="AR20" s="45">
        <v>0.59499999999999997</v>
      </c>
      <c r="AS20" s="45">
        <v>0.13</v>
      </c>
      <c r="AT20" s="63">
        <v>9.4E-2</v>
      </c>
      <c r="AU20" s="44">
        <v>0.46899999999999997</v>
      </c>
      <c r="AV20" s="44">
        <v>0.24399999999999999</v>
      </c>
      <c r="AW20" s="44">
        <v>0.45400000000000001</v>
      </c>
      <c r="AX20" s="56">
        <v>0.53700000000000003</v>
      </c>
      <c r="AY20" s="61">
        <v>0.36399999999999999</v>
      </c>
      <c r="AZ20" s="61">
        <v>1.0489999999999999</v>
      </c>
      <c r="BA20" s="45">
        <v>1.323</v>
      </c>
      <c r="BB20" s="44">
        <v>0.33900000000000002</v>
      </c>
      <c r="BC20" s="44">
        <v>0.36799999999999999</v>
      </c>
      <c r="BD20" s="44">
        <v>0.47199999999999998</v>
      </c>
      <c r="BE20" s="56">
        <v>0</v>
      </c>
      <c r="BF20" s="61">
        <v>3.9E-2</v>
      </c>
      <c r="BG20" s="44" t="str">
        <f t="shared" si="0"/>
        <v>new Food('175194','Beans kidney red','Ingred','1','cup','177',['8.67','0.5','22.8','1.03','127','0.32','7.4','2.94','45','142','403','2','1.07','0.242','0.477','1.2','0','0.03','0','0','0','1.2','0.16','0.058','0.578','0.22','0.12','0','30.5','8.4','28','130','','0.103','0.365','0.383','0.093','0.595','0.13','0.094','0.469','0.244','0.454','0.537','0.364','1.049','1.323','0.339','0.368','0.472','0','0.039']),</v>
      </c>
    </row>
    <row r="21" spans="1:71" s="44" customFormat="1" ht="15" customHeight="1">
      <c r="A21" s="158">
        <v>174253</v>
      </c>
      <c r="B21" s="162" t="s">
        <v>97</v>
      </c>
      <c r="C21" s="77" t="s">
        <v>311</v>
      </c>
      <c r="D21" s="175">
        <v>1</v>
      </c>
      <c r="E21" s="163" t="s">
        <v>70</v>
      </c>
      <c r="F21" s="158">
        <v>188</v>
      </c>
      <c r="G21" s="65">
        <v>7.8</v>
      </c>
      <c r="H21" s="65">
        <v>0.38</v>
      </c>
      <c r="I21" s="57">
        <v>20.88</v>
      </c>
      <c r="J21" s="68">
        <v>1.1499999999999999</v>
      </c>
      <c r="K21" s="56">
        <v>115</v>
      </c>
      <c r="L21" s="56">
        <v>2.9</v>
      </c>
      <c r="M21" s="74">
        <v>7</v>
      </c>
      <c r="N21" s="74">
        <v>2.39</v>
      </c>
      <c r="O21" s="74">
        <v>43</v>
      </c>
      <c r="P21" s="73">
        <v>111</v>
      </c>
      <c r="Q21" s="74">
        <v>508</v>
      </c>
      <c r="R21" s="73">
        <v>2</v>
      </c>
      <c r="S21" s="78">
        <v>0.95</v>
      </c>
      <c r="T21" s="74">
        <v>0.23499999999999999</v>
      </c>
      <c r="U21" s="74">
        <v>0.51600000000000001</v>
      </c>
      <c r="V21" s="162">
        <v>4.5</v>
      </c>
      <c r="W21" s="162">
        <v>0</v>
      </c>
      <c r="X21" s="162">
        <v>0.18</v>
      </c>
      <c r="Y21" s="75">
        <v>0</v>
      </c>
      <c r="Z21" s="162">
        <v>0</v>
      </c>
      <c r="AA21" s="162">
        <v>0</v>
      </c>
      <c r="AB21" s="75">
        <v>0</v>
      </c>
      <c r="AC21" s="75">
        <v>0.161</v>
      </c>
      <c r="AD21" s="75">
        <v>5.5E-2</v>
      </c>
      <c r="AE21" s="75">
        <v>0.42099999999999999</v>
      </c>
      <c r="AF21" s="162">
        <v>0.42199999999999999</v>
      </c>
      <c r="AG21" s="162">
        <v>0.161</v>
      </c>
      <c r="AH21" s="75">
        <v>0</v>
      </c>
      <c r="AI21" s="162">
        <v>32.5</v>
      </c>
      <c r="AJ21" s="76">
        <v>2</v>
      </c>
      <c r="AK21" s="75">
        <v>17</v>
      </c>
      <c r="AL21" s="162">
        <v>83</v>
      </c>
      <c r="AM21" s="162">
        <v>0</v>
      </c>
      <c r="AN21" s="162">
        <v>9.1999999999999998E-2</v>
      </c>
      <c r="AO21" s="162">
        <v>0.33700000000000002</v>
      </c>
      <c r="AP21" s="75">
        <v>0.41099999999999998</v>
      </c>
      <c r="AQ21" s="75">
        <v>0.67300000000000004</v>
      </c>
      <c r="AR21" s="162">
        <v>0.52300000000000002</v>
      </c>
      <c r="AS21" s="162">
        <v>9.9000000000000005E-2</v>
      </c>
      <c r="AT21" s="75">
        <v>8.5999999999999993E-2</v>
      </c>
      <c r="AU21" s="75">
        <v>0.44900000000000001</v>
      </c>
      <c r="AV21" s="75">
        <v>0.27600000000000002</v>
      </c>
      <c r="AW21" s="162">
        <v>0.46899999999999997</v>
      </c>
      <c r="AX21" s="75">
        <v>0.47799999999999998</v>
      </c>
      <c r="AY21" s="162">
        <v>0.39800000000000002</v>
      </c>
      <c r="AZ21" s="75">
        <v>1.006</v>
      </c>
      <c r="BA21" s="75">
        <v>1.1040000000000001</v>
      </c>
      <c r="BB21" s="162">
        <v>0.32900000000000001</v>
      </c>
      <c r="BC21" s="162">
        <v>0.35399999999999998</v>
      </c>
      <c r="BD21" s="75">
        <v>0.51900000000000002</v>
      </c>
      <c r="BE21" s="75">
        <v>0</v>
      </c>
      <c r="BF21" s="162">
        <v>3.4000000000000002E-2</v>
      </c>
      <c r="BG21" s="44" t="str">
        <f t="shared" si="0"/>
        <v>new Food('174253','Beans lima','Ingred','1','cup','188',['7.8','0.38','20.88','1.15','115','2.9','7','2.39','43','111','508','2','0.95','0.235','0.516','4.5','0','0.18','0','0','0','0','0.161','0.055','0.421','0.422','0.161','0','32.5','2','17','83','0','0.092','0.337','0.411','0.673','0.523','0.099','0.086','0.449','0.276','0.469','0.478','0.398','1.006','1.104','0.329','0.354','0.519','0','0.034']),</v>
      </c>
    </row>
    <row r="22" spans="1:71" s="44" customFormat="1" ht="15" customHeight="1">
      <c r="A22" s="101">
        <v>335307</v>
      </c>
      <c r="B22" s="45" t="s">
        <v>289</v>
      </c>
      <c r="C22" s="77" t="s">
        <v>311</v>
      </c>
      <c r="D22" s="173">
        <v>1</v>
      </c>
      <c r="E22" s="58" t="s">
        <v>70</v>
      </c>
      <c r="F22" s="101"/>
      <c r="G22" s="56">
        <v>23.5</v>
      </c>
      <c r="H22" s="56">
        <v>1.19</v>
      </c>
      <c r="I22" s="62">
        <v>0</v>
      </c>
      <c r="J22" s="62">
        <v>0</v>
      </c>
      <c r="K22" s="46">
        <v>0</v>
      </c>
      <c r="L22" s="56">
        <v>0</v>
      </c>
      <c r="M22" s="46">
        <v>4.5</v>
      </c>
      <c r="N22" s="46">
        <v>6.62</v>
      </c>
      <c r="O22" s="56">
        <v>164</v>
      </c>
      <c r="P22" s="56">
        <v>562</v>
      </c>
      <c r="Q22" s="56">
        <v>1320</v>
      </c>
      <c r="R22" s="56">
        <v>0</v>
      </c>
      <c r="S22" s="56">
        <v>2.3199999999999998</v>
      </c>
      <c r="T22" s="56">
        <v>0.85499999999999998</v>
      </c>
      <c r="U22" s="56">
        <v>2.08</v>
      </c>
      <c r="V22" s="56">
        <v>0</v>
      </c>
      <c r="W22" s="56">
        <v>0</v>
      </c>
      <c r="X22" s="56">
        <v>0</v>
      </c>
      <c r="Y22" s="56">
        <v>0</v>
      </c>
      <c r="Z22" s="46">
        <v>0</v>
      </c>
      <c r="AA22" s="46">
        <v>0</v>
      </c>
      <c r="AB22" s="56">
        <v>0</v>
      </c>
      <c r="AC22" s="56">
        <v>0</v>
      </c>
      <c r="AD22" s="56">
        <v>0</v>
      </c>
      <c r="AE22" s="56">
        <v>0</v>
      </c>
      <c r="AF22" s="57">
        <v>0</v>
      </c>
      <c r="AG22" s="56">
        <v>0</v>
      </c>
      <c r="AH22" s="56">
        <v>0</v>
      </c>
      <c r="AI22" s="57">
        <v>0</v>
      </c>
      <c r="AJ22" s="56">
        <v>0</v>
      </c>
      <c r="AK22" s="46">
        <v>238</v>
      </c>
      <c r="AL22" s="46">
        <v>0</v>
      </c>
      <c r="AM22" s="46">
        <v>0</v>
      </c>
      <c r="AN22" s="56">
        <v>0</v>
      </c>
      <c r="AO22" s="56">
        <v>0</v>
      </c>
      <c r="AP22" s="46">
        <v>0</v>
      </c>
      <c r="AQ22" s="46">
        <v>0</v>
      </c>
      <c r="AR22" s="46">
        <v>0</v>
      </c>
      <c r="AS22" s="46">
        <v>0</v>
      </c>
      <c r="AT22" s="46">
        <v>0</v>
      </c>
      <c r="AU22" s="56">
        <v>0</v>
      </c>
      <c r="AV22" s="56">
        <v>0</v>
      </c>
      <c r="AW22" s="56">
        <v>0</v>
      </c>
      <c r="AX22" s="46">
        <v>0</v>
      </c>
      <c r="AY22" s="46">
        <v>0</v>
      </c>
      <c r="AZ22" s="59">
        <v>0</v>
      </c>
      <c r="BA22" s="46">
        <v>0</v>
      </c>
      <c r="BB22" s="46">
        <v>0</v>
      </c>
      <c r="BC22" s="56">
        <v>0</v>
      </c>
      <c r="BD22" s="56">
        <v>0</v>
      </c>
      <c r="BE22" s="56">
        <v>0</v>
      </c>
      <c r="BF22" s="46">
        <v>0</v>
      </c>
      <c r="BG22" s="44" t="str">
        <f t="shared" si="0"/>
        <v>new Food('335307','Beans navy','Ingred','1','cup','',['23.5','1.19','0','0','0','0','4.5','6.62','164','562','1320','0','2.32','0.855','2.08','0','0','0','0','0','0','0','0','0','0','0','0','0','0','0','238','0','0','0','0','0','0','0','0','0','0','0','0','0','0','0','0','0','0','0','0','0']),</v>
      </c>
    </row>
    <row r="23" spans="1:71" s="44" customFormat="1" ht="15" customHeight="1">
      <c r="A23" s="159">
        <v>175198</v>
      </c>
      <c r="B23" s="71" t="s">
        <v>94</v>
      </c>
      <c r="C23" s="79" t="s">
        <v>311</v>
      </c>
      <c r="D23" s="176">
        <v>1</v>
      </c>
      <c r="E23" s="81" t="s">
        <v>70</v>
      </c>
      <c r="F23" s="159">
        <v>169</v>
      </c>
      <c r="G23" s="68">
        <v>9.06</v>
      </c>
      <c r="H23" s="68">
        <v>0.49</v>
      </c>
      <c r="I23" s="68">
        <v>27.91</v>
      </c>
      <c r="J23" s="68">
        <v>1.34</v>
      </c>
      <c r="K23" s="65">
        <v>149</v>
      </c>
      <c r="L23" s="71">
        <v>0.36</v>
      </c>
      <c r="M23" s="67">
        <v>5.3</v>
      </c>
      <c r="N23" s="71">
        <v>2.2999999999999998</v>
      </c>
      <c r="O23" s="71">
        <v>65</v>
      </c>
      <c r="P23" s="67">
        <v>165</v>
      </c>
      <c r="Q23" s="71">
        <v>508</v>
      </c>
      <c r="R23" s="67">
        <v>2</v>
      </c>
      <c r="S23" s="71">
        <v>0.96</v>
      </c>
      <c r="T23" s="67">
        <v>0.27100000000000002</v>
      </c>
      <c r="U23" s="71">
        <v>0.54800000000000004</v>
      </c>
      <c r="V23" s="67">
        <v>1.4</v>
      </c>
      <c r="W23" s="67">
        <v>0</v>
      </c>
      <c r="X23" s="71">
        <v>0.98</v>
      </c>
      <c r="Y23" s="71">
        <v>0</v>
      </c>
      <c r="Z23" s="71">
        <v>0</v>
      </c>
      <c r="AA23" s="67">
        <v>0</v>
      </c>
      <c r="AB23" s="67">
        <v>0</v>
      </c>
      <c r="AC23" s="71">
        <v>0.247</v>
      </c>
      <c r="AD23" s="71">
        <v>6.3E-2</v>
      </c>
      <c r="AE23" s="71">
        <v>0.56999999999999995</v>
      </c>
      <c r="AF23" s="67">
        <v>0.29899999999999999</v>
      </c>
      <c r="AG23" s="67">
        <v>0.17499999999999999</v>
      </c>
      <c r="AH23" s="71">
        <v>0</v>
      </c>
      <c r="AI23" s="71">
        <v>36.9</v>
      </c>
      <c r="AJ23" s="67">
        <v>3.7</v>
      </c>
      <c r="AK23" s="67">
        <v>52</v>
      </c>
      <c r="AL23" s="71">
        <v>168</v>
      </c>
      <c r="AM23" s="66"/>
      <c r="AN23" s="67">
        <v>0.107</v>
      </c>
      <c r="AO23" s="67">
        <v>0.38100000000000001</v>
      </c>
      <c r="AP23" s="67">
        <v>0.4</v>
      </c>
      <c r="AQ23" s="71">
        <v>0.72299999999999998</v>
      </c>
      <c r="AR23" s="67">
        <v>0.622</v>
      </c>
      <c r="AS23" s="67">
        <v>0.13600000000000001</v>
      </c>
      <c r="AT23" s="67">
        <v>9.9000000000000005E-2</v>
      </c>
      <c r="AU23" s="71">
        <v>0.49</v>
      </c>
      <c r="AV23" s="71">
        <v>0.255</v>
      </c>
      <c r="AW23" s="67">
        <v>474</v>
      </c>
      <c r="AX23" s="67">
        <v>0.56100000000000005</v>
      </c>
      <c r="AY23" s="71">
        <v>0.38</v>
      </c>
      <c r="AZ23" s="71">
        <v>1.095</v>
      </c>
      <c r="BA23" s="71">
        <v>1.381</v>
      </c>
      <c r="BB23" s="67">
        <v>0.35099999999999998</v>
      </c>
      <c r="BC23" s="67">
        <v>0</v>
      </c>
      <c r="BD23" s="71">
        <v>0.49299999999999999</v>
      </c>
      <c r="BE23" s="67">
        <v>0</v>
      </c>
      <c r="BF23" s="71">
        <v>4.2000000000000003E-2</v>
      </c>
      <c r="BG23" s="44" t="str">
        <f t="shared" si="0"/>
        <v>new Food('175198','Beans pink','Ingred','1','cup','169',['9.06','0.49','27.91','1.34','149','0.36','5.3','2.3','65','165','508','2','0.96','0.271','0.548','1.4','0','0.98','0','0','0','0','0.247','0.063','0.57','0.299','0.175','0','36.9','3.7','52','168','','0.107','0.381','0.4','0.723','0.622','0.136','0.099','0.49','0.255','474','0.561','0.38','1.095','1.381','0.351','0','0.493','0','0.042']),</v>
      </c>
    </row>
    <row r="24" spans="1:71" s="44" customFormat="1" ht="15" customHeight="1">
      <c r="A24" s="99">
        <v>175200</v>
      </c>
      <c r="B24" s="57" t="s">
        <v>95</v>
      </c>
      <c r="C24" s="50" t="s">
        <v>311</v>
      </c>
      <c r="D24" s="174">
        <v>1</v>
      </c>
      <c r="E24" s="60" t="s">
        <v>70</v>
      </c>
      <c r="F24" s="99">
        <v>171</v>
      </c>
      <c r="G24" s="65">
        <v>6.01</v>
      </c>
      <c r="H24" s="65">
        <v>0.65</v>
      </c>
      <c r="I24" s="68">
        <v>26.27</v>
      </c>
      <c r="J24" s="68">
        <v>1.17</v>
      </c>
      <c r="K24" s="67">
        <v>143</v>
      </c>
      <c r="L24" s="56">
        <v>0.34</v>
      </c>
      <c r="M24" s="65">
        <v>9</v>
      </c>
      <c r="N24" s="64">
        <v>2.09</v>
      </c>
      <c r="O24" s="63">
        <v>50</v>
      </c>
      <c r="P24" s="56">
        <v>147</v>
      </c>
      <c r="Q24" s="56">
        <v>436</v>
      </c>
      <c r="R24" s="63">
        <v>1</v>
      </c>
      <c r="S24" s="61">
        <v>0.98</v>
      </c>
      <c r="T24" s="56">
        <v>0.219</v>
      </c>
      <c r="U24" s="56">
        <v>0.45300000000000001</v>
      </c>
      <c r="V24" s="63">
        <v>0.2</v>
      </c>
      <c r="W24" s="56">
        <v>0</v>
      </c>
      <c r="X24" s="57">
        <v>0.94</v>
      </c>
      <c r="Y24" s="57">
        <v>0</v>
      </c>
      <c r="Z24" s="61">
        <v>0</v>
      </c>
      <c r="AA24" s="63">
        <v>0</v>
      </c>
      <c r="AB24" s="56">
        <v>0.8</v>
      </c>
      <c r="AC24" s="56">
        <v>0.193</v>
      </c>
      <c r="AD24" s="56">
        <v>6.2E-2</v>
      </c>
      <c r="AE24" s="63">
        <v>0.318</v>
      </c>
      <c r="AF24" s="56">
        <v>0.21</v>
      </c>
      <c r="AG24" s="63">
        <v>0.22900000000000001</v>
      </c>
      <c r="AH24" s="63">
        <v>0</v>
      </c>
      <c r="AI24" s="61">
        <v>35.299999999999997</v>
      </c>
      <c r="AJ24" s="63">
        <v>3.5</v>
      </c>
      <c r="AK24" s="63">
        <v>46</v>
      </c>
      <c r="AL24" s="61">
        <v>172</v>
      </c>
      <c r="AM24" s="61">
        <v>0.01</v>
      </c>
      <c r="AN24" s="63">
        <v>0.108</v>
      </c>
      <c r="AO24" s="63">
        <v>0.33100000000000002</v>
      </c>
      <c r="AP24" s="56">
        <v>0.42599999999999999</v>
      </c>
      <c r="AQ24" s="56">
        <v>0.76500000000000001</v>
      </c>
      <c r="AR24" s="56">
        <v>0.63</v>
      </c>
      <c r="AS24" s="56">
        <v>0.11700000000000001</v>
      </c>
      <c r="AT24" s="56">
        <v>8.4000000000000005E-2</v>
      </c>
      <c r="AU24" s="56">
        <v>0.53100000000000003</v>
      </c>
      <c r="AV24" s="63">
        <v>0.21299999999999999</v>
      </c>
      <c r="AW24" s="63">
        <v>0.51900000000000002</v>
      </c>
      <c r="AX24" s="63">
        <v>0.49399999999999999</v>
      </c>
      <c r="AY24" s="61">
        <v>0.40899999999999997</v>
      </c>
      <c r="AZ24" s="72">
        <v>1.1279999999999999</v>
      </c>
      <c r="BA24" s="57">
        <v>1.4470000000000001</v>
      </c>
      <c r="BB24" s="63">
        <v>0.36499999999999999</v>
      </c>
      <c r="BC24" s="63">
        <v>0.51500000000000001</v>
      </c>
      <c r="BD24" s="63">
        <v>0.56499999999999995</v>
      </c>
      <c r="BE24" s="56">
        <v>0</v>
      </c>
      <c r="BF24" s="61">
        <v>0.13300000000000001</v>
      </c>
      <c r="BG24" s="44" t="str">
        <f t="shared" si="0"/>
        <v>new Food('175200','Beans pinto ','Ingred','1','cup','171',['6.01','0.65','26.27','1.17','143','0.34','9','2.09','50','147','436','1','0.98','0.219','0.453','0.2','0','0.94','0','0','0','0.8','0.193','0.062','0.318','0.21','0.229','0','35.3','3.5','46','172','0.01','0.108','0.331','0.426','0.765','0.63','0.117','0.084','0.531','0.213','0.519','0.494','0.409','1.128','1.447','0.365','0.515','0.565','0','0.133']),</v>
      </c>
    </row>
    <row r="25" spans="1:71" s="44" customFormat="1" ht="15" customHeight="1">
      <c r="A25" s="159">
        <v>174271</v>
      </c>
      <c r="B25" s="71" t="s">
        <v>99</v>
      </c>
      <c r="C25" s="79" t="s">
        <v>311</v>
      </c>
      <c r="D25" s="176">
        <v>1</v>
      </c>
      <c r="E25" s="81" t="s">
        <v>70</v>
      </c>
      <c r="F25" s="159">
        <v>172</v>
      </c>
      <c r="G25" s="64">
        <v>18.21</v>
      </c>
      <c r="H25" s="64">
        <v>8.9700000000000006</v>
      </c>
      <c r="I25" s="61">
        <v>8.36</v>
      </c>
      <c r="J25" s="68">
        <v>1.91</v>
      </c>
      <c r="K25" s="67">
        <v>172</v>
      </c>
      <c r="L25" s="45">
        <v>3</v>
      </c>
      <c r="M25" s="65">
        <v>6</v>
      </c>
      <c r="N25" s="68">
        <v>5.14</v>
      </c>
      <c r="O25" s="68">
        <v>86</v>
      </c>
      <c r="P25" s="64">
        <v>245</v>
      </c>
      <c r="Q25" s="66">
        <v>515</v>
      </c>
      <c r="R25" s="66">
        <v>1</v>
      </c>
      <c r="S25" s="66">
        <v>1.1499999999999999</v>
      </c>
      <c r="T25" s="67">
        <v>0.40699999999999997</v>
      </c>
      <c r="U25" s="66">
        <v>0.82399999999999995</v>
      </c>
      <c r="V25" s="66">
        <v>7.3</v>
      </c>
      <c r="W25" s="66">
        <v>0</v>
      </c>
      <c r="X25" s="66">
        <v>0.35</v>
      </c>
      <c r="Y25" s="66">
        <v>0</v>
      </c>
      <c r="Z25" s="71">
        <v>0</v>
      </c>
      <c r="AA25" s="67">
        <v>0</v>
      </c>
      <c r="AB25" s="66">
        <v>1.7</v>
      </c>
      <c r="AC25" s="66">
        <v>0.155</v>
      </c>
      <c r="AD25" s="66">
        <v>0.28499999999999998</v>
      </c>
      <c r="AE25" s="66">
        <v>0.39900000000000002</v>
      </c>
      <c r="AF25" s="66">
        <v>0.17899999999999999</v>
      </c>
      <c r="AG25" s="66">
        <v>0.23400000000000001</v>
      </c>
      <c r="AH25" s="66">
        <v>0</v>
      </c>
      <c r="AI25" s="71">
        <v>47.5</v>
      </c>
      <c r="AJ25" s="66">
        <v>19.2</v>
      </c>
      <c r="AK25" s="67">
        <v>102</v>
      </c>
      <c r="AL25" s="71">
        <v>54</v>
      </c>
      <c r="AM25" s="71">
        <v>0</v>
      </c>
      <c r="AN25" s="66">
        <v>0.24199999999999999</v>
      </c>
      <c r="AO25" s="66">
        <v>0.72299999999999998</v>
      </c>
      <c r="AP25" s="65">
        <v>0.80700000000000005</v>
      </c>
      <c r="AQ25" s="68">
        <v>1.355</v>
      </c>
      <c r="AR25" s="65">
        <v>1.1080000000000001</v>
      </c>
      <c r="AS25" s="66">
        <v>0.224</v>
      </c>
      <c r="AT25" s="67">
        <v>0.26800000000000002</v>
      </c>
      <c r="AU25" s="66">
        <v>0.86899999999999999</v>
      </c>
      <c r="AV25" s="66">
        <v>0.63</v>
      </c>
      <c r="AW25" s="66">
        <v>0.83099999999999996</v>
      </c>
      <c r="AX25" s="67">
        <v>1.2909999999999999</v>
      </c>
      <c r="AY25" s="71">
        <v>784</v>
      </c>
      <c r="AZ25" s="67">
        <v>2.093</v>
      </c>
      <c r="BA25" s="71">
        <v>3.2240000000000002</v>
      </c>
      <c r="BB25" s="67">
        <v>0.77</v>
      </c>
      <c r="BC25" s="66">
        <v>0.97399999999999998</v>
      </c>
      <c r="BD25" s="66">
        <v>0.96499999999999997</v>
      </c>
      <c r="BE25" s="67">
        <v>0</v>
      </c>
      <c r="BF25" s="71">
        <v>1.9810000000000001</v>
      </c>
      <c r="BG25" s="44" t="str">
        <f t="shared" si="0"/>
        <v>new Food('174271','Beans soy','Ingred','1','cup','172',['18.21','8.97','8.36','1.91','172','3','6','5.14','86','245','515','1','1.15','0.407','0.824','7.3','0','0.35','0','0','0','1.7','0.155','0.285','0.399','0.179','0.234','0','47.5','19.2','102','54','0','0.242','0.723','0.807','1.355','1.108','0.224','0.268','0.869','0.63','0.831','1.291','784','2.093','3.224','0.77','0.974','0.965','0','1.981']),</v>
      </c>
    </row>
    <row r="26" spans="1:71" s="44" customFormat="1" ht="15" customHeight="1">
      <c r="A26" s="159">
        <v>175203</v>
      </c>
      <c r="B26" s="68" t="s">
        <v>96</v>
      </c>
      <c r="C26" s="79" t="s">
        <v>311</v>
      </c>
      <c r="D26" s="176">
        <v>1</v>
      </c>
      <c r="E26" s="81" t="s">
        <v>70</v>
      </c>
      <c r="F26" s="159">
        <v>179</v>
      </c>
      <c r="G26" s="68">
        <v>9.73</v>
      </c>
      <c r="H26" s="68">
        <v>0.35</v>
      </c>
      <c r="I26" s="61">
        <v>25.09</v>
      </c>
      <c r="J26" s="68">
        <v>1.75</v>
      </c>
      <c r="K26" s="67">
        <v>139</v>
      </c>
      <c r="L26" s="168">
        <v>0.34</v>
      </c>
      <c r="M26" s="65">
        <v>6.3</v>
      </c>
      <c r="N26" s="68">
        <v>3.7</v>
      </c>
      <c r="O26" s="68">
        <v>63</v>
      </c>
      <c r="P26" s="65">
        <v>113</v>
      </c>
      <c r="Q26" s="71">
        <v>581</v>
      </c>
      <c r="R26" s="67">
        <v>6</v>
      </c>
      <c r="S26" s="71">
        <v>1.38</v>
      </c>
      <c r="T26" s="65">
        <v>0.28699999999999998</v>
      </c>
      <c r="U26" s="68">
        <v>0.63600000000000001</v>
      </c>
      <c r="V26" s="67">
        <v>1.3</v>
      </c>
      <c r="W26" s="67">
        <v>0</v>
      </c>
      <c r="X26" s="71">
        <v>0.94</v>
      </c>
      <c r="Y26" s="71">
        <v>0</v>
      </c>
      <c r="Z26" s="67">
        <v>0</v>
      </c>
      <c r="AA26" s="67">
        <v>0</v>
      </c>
      <c r="AB26" s="67">
        <v>0</v>
      </c>
      <c r="AC26" s="71">
        <v>0.11799999999999999</v>
      </c>
      <c r="AD26" s="71">
        <v>4.5999999999999999E-2</v>
      </c>
      <c r="AE26" s="71">
        <v>1.4E-2</v>
      </c>
      <c r="AF26" s="67">
        <v>0.22900000000000001</v>
      </c>
      <c r="AG26" s="65">
        <v>9.2999999999999999E-2</v>
      </c>
      <c r="AH26" s="68">
        <v>0</v>
      </c>
      <c r="AI26" s="68">
        <v>35.1</v>
      </c>
      <c r="AJ26" s="67">
        <v>3.5</v>
      </c>
      <c r="AK26" s="67">
        <v>90</v>
      </c>
      <c r="AL26" s="71">
        <v>81</v>
      </c>
      <c r="AM26" s="71">
        <v>0</v>
      </c>
      <c r="AN26" s="67">
        <v>0.115</v>
      </c>
      <c r="AO26" s="67">
        <v>0.40899999999999997</v>
      </c>
      <c r="AP26" s="65">
        <v>0.42899999999999999</v>
      </c>
      <c r="AQ26" s="68">
        <v>0.77600000000000002</v>
      </c>
      <c r="AR26" s="65">
        <v>0.66800000000000004</v>
      </c>
      <c r="AS26" s="67">
        <v>0.14599999999999999</v>
      </c>
      <c r="AT26" s="67">
        <v>0.106</v>
      </c>
      <c r="AU26" s="71">
        <v>0.52600000000000002</v>
      </c>
      <c r="AV26" s="71">
        <v>0.27400000000000002</v>
      </c>
      <c r="AW26" s="67">
        <v>0.50900000000000001</v>
      </c>
      <c r="AX26" s="67">
        <v>0.60199999999999998</v>
      </c>
      <c r="AY26" s="71">
        <v>0.40799999999999997</v>
      </c>
      <c r="AZ26" s="71">
        <v>1.1759999999999999</v>
      </c>
      <c r="BA26" s="71">
        <v>1.4830000000000001</v>
      </c>
      <c r="BB26" s="67">
        <v>0.38</v>
      </c>
      <c r="BC26" s="67">
        <v>0.41199999999999998</v>
      </c>
      <c r="BD26" s="71">
        <v>0.52900000000000003</v>
      </c>
      <c r="BE26" s="65">
        <v>0</v>
      </c>
      <c r="BF26" s="68">
        <v>3.1E-2</v>
      </c>
      <c r="BG26" s="44" t="str">
        <f t="shared" si="0"/>
        <v>new Food('175203','Beans white','Ingred','1','cup','179',['9.73','0.35','25.09','1.75','139','0.34','6.3','3.7','63','113','581','6','1.38','0.287','0.636','1.3','0','0.94','0','0','0','0','0.118','0.046','0.014','0.229','0.093','0','35.1','3.5','90','81','0','0.115','0.409','0.429','0.776','0.668','0.146','0.106','0.526','0.274','0.509','0.602','0.408','1.176','1.483','0.38','0.412','0.529','0','0.031']),</v>
      </c>
    </row>
    <row r="27" spans="1:71" s="44" customFormat="1" ht="15" customHeight="1">
      <c r="A27" s="98">
        <v>2341263</v>
      </c>
      <c r="B27" s="45" t="s">
        <v>240</v>
      </c>
      <c r="C27" s="79" t="s">
        <v>311</v>
      </c>
      <c r="D27" s="177">
        <v>1</v>
      </c>
      <c r="E27" s="84"/>
      <c r="F27" s="110">
        <v>100</v>
      </c>
      <c r="G27" s="65">
        <v>31.1</v>
      </c>
      <c r="H27" s="65">
        <v>1.94</v>
      </c>
      <c r="I27" s="44">
        <v>2.76</v>
      </c>
      <c r="J27" s="64">
        <v>0</v>
      </c>
      <c r="K27" s="67">
        <v>153</v>
      </c>
      <c r="L27" s="167">
        <v>0</v>
      </c>
      <c r="M27" s="56">
        <v>0</v>
      </c>
      <c r="N27" s="56">
        <v>2.42</v>
      </c>
      <c r="O27" s="63">
        <v>19</v>
      </c>
      <c r="P27" s="56">
        <v>181</v>
      </c>
      <c r="Q27" s="56">
        <v>235</v>
      </c>
      <c r="R27" s="63">
        <v>2790</v>
      </c>
      <c r="S27" s="56">
        <v>4.93</v>
      </c>
      <c r="T27" s="44">
        <v>7.3999999999999996E-2</v>
      </c>
      <c r="U27" s="63">
        <v>0</v>
      </c>
      <c r="V27" s="63">
        <v>32.4</v>
      </c>
      <c r="W27" s="63">
        <v>0</v>
      </c>
      <c r="X27" s="63">
        <v>0.38</v>
      </c>
      <c r="Y27" s="63">
        <v>0</v>
      </c>
      <c r="Z27" s="46">
        <v>0</v>
      </c>
      <c r="AA27" s="56">
        <v>0</v>
      </c>
      <c r="AB27" s="56">
        <v>0</v>
      </c>
      <c r="AC27" s="56">
        <v>6.5000000000000002E-2</v>
      </c>
      <c r="AD27" s="56">
        <v>0.16300000000000001</v>
      </c>
      <c r="AE27" s="56">
        <v>5.1639999999999997</v>
      </c>
      <c r="AF27" s="56">
        <v>0</v>
      </c>
      <c r="AG27" s="56">
        <v>0.38600000000000001</v>
      </c>
      <c r="AH27" s="56">
        <v>0</v>
      </c>
      <c r="AI27" s="45">
        <v>0</v>
      </c>
      <c r="AJ27" s="56">
        <v>1.3</v>
      </c>
      <c r="AK27" s="45">
        <v>0</v>
      </c>
      <c r="AL27" s="63">
        <v>10</v>
      </c>
      <c r="AM27" s="45">
        <v>0</v>
      </c>
      <c r="AN27" s="56">
        <v>0</v>
      </c>
      <c r="AO27" s="56">
        <v>0</v>
      </c>
      <c r="AP27" s="56">
        <v>0</v>
      </c>
      <c r="AQ27" s="56">
        <v>0</v>
      </c>
      <c r="AR27" s="56">
        <v>0</v>
      </c>
      <c r="AS27" s="56">
        <v>0</v>
      </c>
      <c r="AT27" s="56">
        <v>0</v>
      </c>
      <c r="AU27" s="56">
        <v>0</v>
      </c>
      <c r="AV27" s="56">
        <v>0</v>
      </c>
      <c r="AW27" s="56">
        <v>0</v>
      </c>
      <c r="AX27" s="45">
        <v>0</v>
      </c>
      <c r="AY27" s="45">
        <v>0</v>
      </c>
      <c r="AZ27" s="45">
        <v>0</v>
      </c>
      <c r="BA27" s="56">
        <v>0</v>
      </c>
      <c r="BB27" s="56">
        <v>0</v>
      </c>
      <c r="BC27" s="56">
        <v>0</v>
      </c>
      <c r="BD27" s="56">
        <v>0</v>
      </c>
      <c r="BE27" s="56">
        <v>79</v>
      </c>
      <c r="BF27" s="56">
        <v>0.04</v>
      </c>
      <c r="BG27" s="44" t="str">
        <f t="shared" si="0"/>
        <v>new Food('2341263','Beef dried','Ingred','1','','100',['31.1','1.94','2.76','0','153','0','0','2.42','19','181','235','2790','4.93','0.074','0','32.4','0','0.38','0','0','0','0','0.065','0.163','5.164','0','0.386','0','0','1.3','0','10','0','0','0','0','0','0','0','0','0','0','0','0','0','0','0','0','0','0','79','0.04']),</v>
      </c>
    </row>
    <row r="28" spans="1:71" s="44" customFormat="1" ht="15" customHeight="1">
      <c r="A28" s="98">
        <v>2706482</v>
      </c>
      <c r="B28" s="44" t="s">
        <v>259</v>
      </c>
      <c r="C28" s="50" t="s">
        <v>207</v>
      </c>
      <c r="D28" s="171">
        <v>1</v>
      </c>
      <c r="E28" s="50" t="s">
        <v>407</v>
      </c>
      <c r="F28" s="98">
        <v>453</v>
      </c>
      <c r="G28" s="160">
        <v>8.74</v>
      </c>
      <c r="H28" s="160">
        <v>3.93</v>
      </c>
      <c r="I28" s="160">
        <v>10.67</v>
      </c>
      <c r="J28" s="160">
        <v>0</v>
      </c>
      <c r="K28" s="164">
        <v>115</v>
      </c>
      <c r="L28" s="116">
        <v>2.02</v>
      </c>
      <c r="M28" s="116">
        <v>0.4</v>
      </c>
      <c r="N28" s="160">
        <v>1.17</v>
      </c>
      <c r="O28" s="160">
        <v>11</v>
      </c>
      <c r="P28" s="160">
        <v>68</v>
      </c>
      <c r="Q28" s="116">
        <v>114</v>
      </c>
      <c r="R28" s="116">
        <v>274</v>
      </c>
      <c r="S28" s="116">
        <v>1.82</v>
      </c>
      <c r="T28" s="116">
        <v>0.05</v>
      </c>
      <c r="U28" s="116">
        <v>0</v>
      </c>
      <c r="V28" s="116">
        <v>9.4</v>
      </c>
      <c r="W28" s="116">
        <v>7</v>
      </c>
      <c r="X28" s="116">
        <v>0.17</v>
      </c>
      <c r="Y28" s="116">
        <v>0</v>
      </c>
      <c r="Z28" s="139">
        <v>0</v>
      </c>
      <c r="AA28" s="139">
        <v>4</v>
      </c>
      <c r="AB28" s="116">
        <v>0.1</v>
      </c>
      <c r="AC28" s="116">
        <v>0.09</v>
      </c>
      <c r="AD28" s="116">
        <v>0.11</v>
      </c>
      <c r="AE28" s="116">
        <v>1.671</v>
      </c>
      <c r="AF28" s="116">
        <v>0</v>
      </c>
      <c r="AG28" s="116">
        <v>7.0000000000000007E-2</v>
      </c>
      <c r="AH28" s="116">
        <v>0.53</v>
      </c>
      <c r="AI28" s="116">
        <v>23.4</v>
      </c>
      <c r="AJ28" s="116">
        <v>2.1</v>
      </c>
      <c r="AK28" s="116">
        <v>2</v>
      </c>
      <c r="AL28" s="116">
        <v>20</v>
      </c>
      <c r="AM28" s="160">
        <v>0</v>
      </c>
      <c r="AN28" s="160">
        <v>0</v>
      </c>
      <c r="AO28" s="160">
        <v>0</v>
      </c>
      <c r="AP28" s="116">
        <v>0</v>
      </c>
      <c r="AQ28" s="116">
        <v>0</v>
      </c>
      <c r="AR28" s="116">
        <v>0</v>
      </c>
      <c r="AS28" s="116">
        <v>0</v>
      </c>
      <c r="AT28" s="116">
        <v>0</v>
      </c>
      <c r="AU28" s="116">
        <v>0</v>
      </c>
      <c r="AV28" s="116">
        <v>0</v>
      </c>
      <c r="AW28" s="116">
        <v>0</v>
      </c>
      <c r="AX28" s="116">
        <v>0</v>
      </c>
      <c r="AY28" s="116">
        <v>0</v>
      </c>
      <c r="AZ28" s="116">
        <v>0</v>
      </c>
      <c r="BA28" s="116">
        <v>0</v>
      </c>
      <c r="BB28" s="116">
        <v>0</v>
      </c>
      <c r="BC28" s="116">
        <v>0</v>
      </c>
      <c r="BD28" s="116">
        <v>0</v>
      </c>
      <c r="BE28" s="160">
        <v>23</v>
      </c>
      <c r="BF28" s="160">
        <v>1.55</v>
      </c>
      <c r="BG28" s="44" t="str">
        <f t="shared" si="0"/>
        <v>new Food('2706482','Beef ground 90percent lean','Entre','1','lb','453',['8.74','3.93','10.67','0','115','2.02','0.4','1.17','11','68','114','274','1.82','0.05','0','9.4','7','0.17','0','0','4','0.1','0.09','0.11','1.671','0','0.07','0.53','23.4','2.1','2','20','0','0','0','0','0','0','0','0','0','0','0','0','0','0','0','0','0','0','23','1.55']),</v>
      </c>
    </row>
    <row r="29" spans="1:71" ht="15.6">
      <c r="A29" s="101">
        <v>170375</v>
      </c>
      <c r="B29" s="45" t="s">
        <v>241</v>
      </c>
      <c r="C29" s="50" t="s">
        <v>344</v>
      </c>
      <c r="D29" s="177">
        <v>1</v>
      </c>
      <c r="E29" s="84"/>
      <c r="F29" s="101">
        <v>100</v>
      </c>
      <c r="G29" s="62">
        <v>2.2000000000000002</v>
      </c>
      <c r="H29" s="46">
        <v>0.13</v>
      </c>
      <c r="I29" s="62">
        <v>4.33</v>
      </c>
      <c r="J29" s="62">
        <v>0</v>
      </c>
      <c r="K29" s="46">
        <v>22</v>
      </c>
      <c r="L29" s="46">
        <v>0.5</v>
      </c>
      <c r="M29" s="62">
        <v>3.7</v>
      </c>
      <c r="N29" s="46">
        <v>2.57</v>
      </c>
      <c r="O29" s="46">
        <v>70</v>
      </c>
      <c r="P29" s="62">
        <v>41</v>
      </c>
      <c r="Q29" s="46">
        <v>762</v>
      </c>
      <c r="R29" s="62">
        <v>226</v>
      </c>
      <c r="S29" s="46">
        <v>0.38</v>
      </c>
      <c r="T29" s="46">
        <v>0.191</v>
      </c>
      <c r="U29" s="62">
        <v>0</v>
      </c>
      <c r="V29" s="62">
        <v>0.9</v>
      </c>
      <c r="W29" s="62">
        <v>0</v>
      </c>
      <c r="X29" s="62">
        <v>1.5</v>
      </c>
      <c r="Y29" s="62">
        <v>0</v>
      </c>
      <c r="Z29" s="62">
        <v>0</v>
      </c>
      <c r="AA29" s="62">
        <v>1503</v>
      </c>
      <c r="AB29" s="46">
        <v>30</v>
      </c>
      <c r="AC29" s="46">
        <v>0.1</v>
      </c>
      <c r="AD29" s="62">
        <v>0.22</v>
      </c>
      <c r="AE29" s="62">
        <v>0.4</v>
      </c>
      <c r="AF29" s="46">
        <v>0</v>
      </c>
      <c r="AG29" s="62">
        <v>0.106</v>
      </c>
      <c r="AH29" s="62">
        <v>0</v>
      </c>
      <c r="AI29" s="62">
        <v>0.4</v>
      </c>
      <c r="AJ29" s="62">
        <v>400</v>
      </c>
      <c r="AK29" s="62">
        <v>15</v>
      </c>
      <c r="AL29" s="62">
        <v>15</v>
      </c>
      <c r="AM29" s="62">
        <v>0</v>
      </c>
      <c r="AN29" s="62">
        <v>0</v>
      </c>
      <c r="AO29" s="62">
        <v>0</v>
      </c>
      <c r="AP29" s="62">
        <v>0</v>
      </c>
      <c r="AQ29" s="62">
        <v>0</v>
      </c>
      <c r="AR29" s="62">
        <v>0</v>
      </c>
      <c r="AS29" s="62">
        <v>0</v>
      </c>
      <c r="AT29" s="62">
        <v>0</v>
      </c>
      <c r="AU29" s="62">
        <v>0</v>
      </c>
      <c r="AV29" s="62">
        <v>0</v>
      </c>
      <c r="AW29" s="62">
        <v>0</v>
      </c>
      <c r="AX29" s="62">
        <v>0</v>
      </c>
      <c r="AY29" s="62">
        <v>0</v>
      </c>
      <c r="AZ29" s="62">
        <v>0</v>
      </c>
      <c r="BA29" s="62">
        <v>0</v>
      </c>
      <c r="BB29" s="46">
        <v>0</v>
      </c>
      <c r="BC29" s="62">
        <v>0</v>
      </c>
      <c r="BD29" s="62">
        <v>0</v>
      </c>
      <c r="BE29" s="62">
        <v>0</v>
      </c>
      <c r="BF29" s="62">
        <v>2.5999999999999999E-2</v>
      </c>
      <c r="BG29" s="44" t="str">
        <f t="shared" si="0"/>
        <v>new Food('170375','Beet greens raw','Side 2','1','','100',['2.2','0.13','4.33','0','22','0.5','3.7','2.57','70','41','762','226','0.38','0.191','0','0.9','0','1.5','0','0','1503','30','0.1','0.22','0.4','0','0.106','0','0.4','400','15','15','0','0','0','0','0','0','0','0','0','0','0','0','0','0','0','0','0','0','0','0.026']),</v>
      </c>
      <c r="BH29" s="44"/>
      <c r="BI29" s="44"/>
      <c r="BJ29" s="44"/>
      <c r="BK29" s="44"/>
      <c r="BL29" s="44"/>
      <c r="BM29" s="44"/>
      <c r="BN29" s="44"/>
      <c r="BO29" s="44"/>
      <c r="BP29" s="44"/>
      <c r="BQ29" s="44"/>
      <c r="BR29" s="44"/>
      <c r="BS29" s="44"/>
    </row>
    <row r="30" spans="1:71" ht="15.6">
      <c r="A30" s="98">
        <v>169966</v>
      </c>
      <c r="B30" s="44" t="s">
        <v>242</v>
      </c>
      <c r="C30" s="50" t="s">
        <v>88</v>
      </c>
      <c r="D30" s="171">
        <v>1</v>
      </c>
      <c r="E30" s="50" t="s">
        <v>70</v>
      </c>
      <c r="F30" s="117"/>
      <c r="G30" s="117">
        <v>0.91</v>
      </c>
      <c r="H30" s="117">
        <v>0.14000000000000001</v>
      </c>
      <c r="I30" s="117">
        <v>7.21</v>
      </c>
      <c r="J30" s="117">
        <v>0</v>
      </c>
      <c r="K30" s="117">
        <v>31</v>
      </c>
      <c r="L30" s="117">
        <v>5.51</v>
      </c>
      <c r="M30" s="117">
        <v>1.8</v>
      </c>
      <c r="N30" s="144">
        <v>1.82</v>
      </c>
      <c r="O30" s="144">
        <v>17</v>
      </c>
      <c r="P30" s="144">
        <v>17</v>
      </c>
      <c r="Q30" s="144">
        <v>148</v>
      </c>
      <c r="R30" s="144">
        <v>194</v>
      </c>
      <c r="S30" s="117">
        <v>0.21</v>
      </c>
      <c r="T30" s="117">
        <v>5.8999999999999997E-2</v>
      </c>
      <c r="U30" s="144">
        <v>0</v>
      </c>
      <c r="V30" s="117">
        <v>0.5</v>
      </c>
      <c r="W30" s="117">
        <v>0</v>
      </c>
      <c r="X30" s="117">
        <v>0.03</v>
      </c>
      <c r="Y30" s="117">
        <v>0</v>
      </c>
      <c r="Z30" s="144">
        <v>0</v>
      </c>
      <c r="AA30" s="144">
        <v>0</v>
      </c>
      <c r="AB30" s="144">
        <v>4.0999999999999996</v>
      </c>
      <c r="AC30" s="144">
        <v>0.01</v>
      </c>
      <c r="AD30" s="144">
        <v>0.04</v>
      </c>
      <c r="AE30" s="117">
        <v>0.157</v>
      </c>
      <c r="AF30" s="144">
        <v>0</v>
      </c>
      <c r="AG30" s="117">
        <v>5.7000000000000002E-2</v>
      </c>
      <c r="AH30" s="144">
        <v>0</v>
      </c>
      <c r="AI30" s="117">
        <v>7.5</v>
      </c>
      <c r="AJ30" s="117">
        <v>0.2</v>
      </c>
      <c r="AK30" s="117">
        <v>30</v>
      </c>
      <c r="AL30" s="117">
        <v>30</v>
      </c>
      <c r="AM30" s="117">
        <v>0</v>
      </c>
      <c r="AN30" s="141">
        <v>0</v>
      </c>
      <c r="AO30" s="142">
        <v>0</v>
      </c>
      <c r="AP30" s="142">
        <v>0</v>
      </c>
      <c r="AQ30" s="142">
        <v>0</v>
      </c>
      <c r="AR30" s="142">
        <v>0</v>
      </c>
      <c r="AS30" s="142">
        <v>0</v>
      </c>
      <c r="AT30" s="142">
        <v>0</v>
      </c>
      <c r="AU30" s="142">
        <v>0</v>
      </c>
      <c r="AV30" s="142">
        <v>0</v>
      </c>
      <c r="AW30" s="142">
        <v>0</v>
      </c>
      <c r="AX30" s="141">
        <v>0</v>
      </c>
      <c r="AY30" s="141">
        <v>0</v>
      </c>
      <c r="AZ30" s="142">
        <v>0</v>
      </c>
      <c r="BA30" s="142">
        <v>0</v>
      </c>
      <c r="BB30" s="142">
        <v>0</v>
      </c>
      <c r="BC30" s="142">
        <v>0</v>
      </c>
      <c r="BD30" s="142">
        <v>0</v>
      </c>
      <c r="BE30" s="142">
        <v>0</v>
      </c>
      <c r="BF30" s="142">
        <v>2.7E-2</v>
      </c>
      <c r="BG30" s="44" t="str">
        <f t="shared" si="0"/>
        <v>new Food('169966','Beets canned drained solids','Veg','1','cup','',['0.91','0.14','7.21','0','31','5.51','1.8','1.82','17','17','148','194','0.21','0.059','0','0.5','0','0.03','0','0','0','4.1','0.01','0.04','0.157','0','0.057','0','7.5','0.2','30','30','0','0','0','0','0','0','0','0','0','0','0','0','0','0','0','0','0','0','0','0.027']),</v>
      </c>
      <c r="BH30" s="44"/>
      <c r="BI30" s="44"/>
      <c r="BJ30" s="44"/>
      <c r="BK30" s="44"/>
      <c r="BL30" s="44"/>
      <c r="BM30" s="44"/>
      <c r="BN30" s="44"/>
      <c r="BO30" s="44"/>
      <c r="BP30" s="44"/>
      <c r="BQ30" s="44"/>
      <c r="BR30" s="44"/>
      <c r="BS30" s="44"/>
    </row>
    <row r="31" spans="1:71" s="44" customFormat="1" ht="15" customHeight="1">
      <c r="A31" s="184">
        <v>173946</v>
      </c>
      <c r="B31" s="68" t="s">
        <v>83</v>
      </c>
      <c r="C31" s="58" t="s">
        <v>87</v>
      </c>
      <c r="D31" s="176">
        <v>1</v>
      </c>
      <c r="E31" s="81" t="s">
        <v>70</v>
      </c>
      <c r="F31" s="67">
        <v>144</v>
      </c>
      <c r="G31" s="65">
        <v>1.39</v>
      </c>
      <c r="H31" s="65">
        <v>0.49</v>
      </c>
      <c r="I31" s="63">
        <v>9.61</v>
      </c>
      <c r="J31" s="65">
        <v>0.37</v>
      </c>
      <c r="K31" s="67">
        <v>43</v>
      </c>
      <c r="L31" s="56">
        <v>4.88</v>
      </c>
      <c r="M31" s="65">
        <v>5.3</v>
      </c>
      <c r="N31" s="65">
        <v>0.62</v>
      </c>
      <c r="O31" s="65">
        <v>20</v>
      </c>
      <c r="P31" s="63">
        <v>22</v>
      </c>
      <c r="Q31" s="63">
        <v>162</v>
      </c>
      <c r="R31" s="56">
        <v>1</v>
      </c>
      <c r="S31" s="56">
        <v>0.53</v>
      </c>
      <c r="T31" s="63">
        <v>0.16500000000000001</v>
      </c>
      <c r="U31" s="56">
        <v>0.64600000000000002</v>
      </c>
      <c r="V31" s="63">
        <v>0.04</v>
      </c>
      <c r="W31" s="56">
        <v>0</v>
      </c>
      <c r="X31" s="63">
        <v>1.17</v>
      </c>
      <c r="Y31" s="56">
        <v>0</v>
      </c>
      <c r="Z31" s="56">
        <v>0</v>
      </c>
      <c r="AA31" s="56">
        <v>118</v>
      </c>
      <c r="AB31" s="63">
        <v>21</v>
      </c>
      <c r="AC31" s="56">
        <v>0.02</v>
      </c>
      <c r="AD31" s="56">
        <v>2.5999999999999999E-2</v>
      </c>
      <c r="AE31" s="56">
        <v>0.64600000000000002</v>
      </c>
      <c r="AF31" s="56">
        <v>0.27600000000000002</v>
      </c>
      <c r="AG31" s="56">
        <v>0.03</v>
      </c>
      <c r="AH31" s="65">
        <v>0</v>
      </c>
      <c r="AI31" s="65">
        <v>8.5</v>
      </c>
      <c r="AJ31" s="65">
        <v>19.8</v>
      </c>
      <c r="AK31" s="56">
        <v>29</v>
      </c>
      <c r="AL31" s="65">
        <v>25</v>
      </c>
      <c r="AM31" s="65">
        <v>0.3</v>
      </c>
      <c r="AN31" s="65">
        <v>0</v>
      </c>
      <c r="AO31" s="67">
        <v>0</v>
      </c>
      <c r="AP31" s="67">
        <v>0</v>
      </c>
      <c r="AQ31" s="67">
        <v>0</v>
      </c>
      <c r="AR31" s="67">
        <v>0</v>
      </c>
      <c r="AS31" s="67">
        <v>0</v>
      </c>
      <c r="AT31" s="67">
        <v>0</v>
      </c>
      <c r="AU31" s="67">
        <v>0</v>
      </c>
      <c r="AV31" s="67">
        <v>0</v>
      </c>
      <c r="AW31" s="67">
        <v>0</v>
      </c>
      <c r="AX31" s="67">
        <v>0</v>
      </c>
      <c r="AY31" s="67">
        <v>0</v>
      </c>
      <c r="AZ31" s="67">
        <v>0</v>
      </c>
      <c r="BA31" s="67">
        <v>0</v>
      </c>
      <c r="BB31" s="67">
        <v>0</v>
      </c>
      <c r="BC31" s="67">
        <v>0</v>
      </c>
      <c r="BD31" s="67">
        <v>0</v>
      </c>
      <c r="BE31" s="65">
        <v>0</v>
      </c>
      <c r="BF31" s="67">
        <v>4.7E-2</v>
      </c>
      <c r="BG31" s="44" t="str">
        <f t="shared" si="0"/>
        <v>new Food('173946','Blackberries raw','Fruit','1','cup','144',['1.39','0.49','9.61','0.37','43','4.88','5.3','0.62','20','22','162','1','0.53','0.165','0.646','0.04','0','1.17','0','0','118','21','0.02','0.026','0.646','0.276','0.03','0','8.5','19.8','29','25','0.3','0','0','0','0','0','0','0','0','0','0','0','0','0','0','0','0','0','0','0.047']),</v>
      </c>
    </row>
    <row r="32" spans="1:71" s="44" customFormat="1" ht="15" customHeight="1">
      <c r="A32" s="184">
        <v>171711</v>
      </c>
      <c r="B32" s="68" t="s">
        <v>82</v>
      </c>
      <c r="C32" s="83" t="s">
        <v>87</v>
      </c>
      <c r="D32" s="176">
        <v>1</v>
      </c>
      <c r="E32" s="81" t="s">
        <v>70</v>
      </c>
      <c r="F32" s="67">
        <v>148</v>
      </c>
      <c r="G32" s="65">
        <v>0.74</v>
      </c>
      <c r="H32" s="65">
        <v>0.33</v>
      </c>
      <c r="I32" s="56">
        <v>14.49</v>
      </c>
      <c r="J32" s="65">
        <v>0.24</v>
      </c>
      <c r="K32" s="67">
        <v>57</v>
      </c>
      <c r="L32" s="56">
        <v>9.9600000000000009</v>
      </c>
      <c r="M32" s="65">
        <v>2.4</v>
      </c>
      <c r="N32" s="65">
        <v>0.28000000000000003</v>
      </c>
      <c r="O32" s="65">
        <v>6</v>
      </c>
      <c r="P32" s="65">
        <v>12</v>
      </c>
      <c r="Q32" s="70">
        <v>77</v>
      </c>
      <c r="R32" s="70">
        <v>1</v>
      </c>
      <c r="S32" s="70">
        <v>0.16</v>
      </c>
      <c r="T32" s="70">
        <v>5.7000000000000002E-2</v>
      </c>
      <c r="U32" s="70">
        <v>0.33600000000000002</v>
      </c>
      <c r="V32" s="70">
        <v>0.1</v>
      </c>
      <c r="W32" s="70">
        <v>0</v>
      </c>
      <c r="X32" s="70">
        <v>0.56999999999999995</v>
      </c>
      <c r="Y32" s="70">
        <v>0</v>
      </c>
      <c r="Z32" s="70">
        <v>0</v>
      </c>
      <c r="AA32" s="70">
        <v>80</v>
      </c>
      <c r="AB32" s="70">
        <v>9.6999999999999993</v>
      </c>
      <c r="AC32" s="70">
        <v>3.6999999999999998E-2</v>
      </c>
      <c r="AD32" s="70">
        <v>4.1000000000000002E-2</v>
      </c>
      <c r="AE32" s="70">
        <v>0.41799999999999998</v>
      </c>
      <c r="AF32" s="70">
        <v>0.124</v>
      </c>
      <c r="AG32" s="70">
        <v>5.1999999999999998E-2</v>
      </c>
      <c r="AH32" s="65">
        <v>0</v>
      </c>
      <c r="AI32" s="65">
        <v>6</v>
      </c>
      <c r="AJ32" s="65">
        <v>19.3</v>
      </c>
      <c r="AK32" s="67">
        <v>8</v>
      </c>
      <c r="AL32" s="67">
        <v>6</v>
      </c>
      <c r="AM32" s="67">
        <v>0.2</v>
      </c>
      <c r="AN32" s="65">
        <v>3.0000000000000001E-3</v>
      </c>
      <c r="AO32" s="67">
        <v>0.02</v>
      </c>
      <c r="AP32" s="67">
        <v>2.3E-2</v>
      </c>
      <c r="AQ32" s="67">
        <v>4.3999999999999997E-2</v>
      </c>
      <c r="AR32" s="67">
        <v>1.2999999999999999E-2</v>
      </c>
      <c r="AS32" s="67">
        <v>1.2E-2</v>
      </c>
      <c r="AT32" s="67">
        <v>8.0000000000000002E-3</v>
      </c>
      <c r="AU32" s="67">
        <v>2.5999999999999999E-2</v>
      </c>
      <c r="AV32" s="67">
        <v>8.9999999999999993E-3</v>
      </c>
      <c r="AW32" s="67">
        <v>3.1E-2</v>
      </c>
      <c r="AX32" s="67">
        <v>3.6999999999999998E-2</v>
      </c>
      <c r="AY32" s="67">
        <v>3.1E-2</v>
      </c>
      <c r="AZ32" s="67">
        <v>5.7000000000000002E-2</v>
      </c>
      <c r="BA32" s="67">
        <v>9.0999999999999998E-2</v>
      </c>
      <c r="BB32" s="67">
        <v>3.1E-2</v>
      </c>
      <c r="BC32" s="67">
        <v>2.8000000000000001E-2</v>
      </c>
      <c r="BD32" s="67">
        <v>2.1999999999999999E-2</v>
      </c>
      <c r="BE32" s="65">
        <v>0</v>
      </c>
      <c r="BF32" s="67">
        <v>4.7E-2</v>
      </c>
      <c r="BG32" s="44" t="str">
        <f t="shared" si="0"/>
        <v>new Food('171711','Blueberries raw','Fruit','1','cup','148',['0.74','0.33','14.49','0.24','57','9.96','2.4','0.28','6','12','77','1','0.16','0.057','0.336','0.1','0','0.57','0','0','80','9.7','0.037','0.041','0.418','0.124','0.052','0','6','19.3','8','6','0.2','0.003','0.02','0.023','0.044','0.013','0.012','0.008','0.026','0.009','0.031','0.037','0.031','0.057','0.091','0.031','0.028','0.022','0','0.047']),</v>
      </c>
    </row>
    <row r="33" spans="1:59" s="44" customFormat="1" ht="15" customHeight="1">
      <c r="A33" s="97">
        <v>169969</v>
      </c>
      <c r="B33" s="57" t="s">
        <v>103</v>
      </c>
      <c r="C33" s="58" t="s">
        <v>311</v>
      </c>
      <c r="D33" s="174">
        <v>1</v>
      </c>
      <c r="E33" s="60" t="s">
        <v>70</v>
      </c>
      <c r="F33" s="99">
        <v>184</v>
      </c>
      <c r="G33" s="65">
        <v>3.1</v>
      </c>
      <c r="H33" s="65">
        <v>0.12</v>
      </c>
      <c r="I33" s="68">
        <v>5.35</v>
      </c>
      <c r="J33" s="68">
        <v>0.71</v>
      </c>
      <c r="K33" s="56">
        <v>28</v>
      </c>
      <c r="L33" s="56">
        <v>1.47</v>
      </c>
      <c r="M33" s="70">
        <v>3</v>
      </c>
      <c r="N33" s="57">
        <v>0.61</v>
      </c>
      <c r="O33" s="63">
        <v>13</v>
      </c>
      <c r="P33" s="63">
        <v>49</v>
      </c>
      <c r="Q33" s="56">
        <v>142</v>
      </c>
      <c r="R33" s="56">
        <v>11</v>
      </c>
      <c r="S33" s="57">
        <v>0.28000000000000003</v>
      </c>
      <c r="T33" s="63">
        <v>3.4000000000000002E-2</v>
      </c>
      <c r="U33" s="56">
        <v>0.223</v>
      </c>
      <c r="V33" s="56">
        <v>7.0000000000000007E-2</v>
      </c>
      <c r="W33" s="56">
        <v>0</v>
      </c>
      <c r="X33" s="57">
        <v>1.32</v>
      </c>
      <c r="Y33" s="61">
        <v>0</v>
      </c>
      <c r="Z33" s="57">
        <v>1</v>
      </c>
      <c r="AA33" s="56">
        <v>1095</v>
      </c>
      <c r="AB33" s="63">
        <v>40.1</v>
      </c>
      <c r="AC33" s="56">
        <v>5.5E-2</v>
      </c>
      <c r="AD33" s="56">
        <v>8.1000000000000003E-2</v>
      </c>
      <c r="AE33" s="63">
        <v>0.45800000000000002</v>
      </c>
      <c r="AF33" s="56">
        <v>0.27400000000000002</v>
      </c>
      <c r="AG33" s="63">
        <v>0.13</v>
      </c>
      <c r="AH33" s="56">
        <v>0</v>
      </c>
      <c r="AI33" s="57">
        <v>16.2</v>
      </c>
      <c r="AJ33" s="56">
        <v>86.1</v>
      </c>
      <c r="AK33" s="56">
        <v>33</v>
      </c>
      <c r="AL33" s="87">
        <v>56</v>
      </c>
      <c r="AM33" s="57">
        <v>0</v>
      </c>
      <c r="AN33" s="67">
        <v>3.2000000000000001E-2</v>
      </c>
      <c r="AO33" s="56">
        <v>0.10100000000000001</v>
      </c>
      <c r="AP33" s="56">
        <v>0.121</v>
      </c>
      <c r="AQ33" s="57">
        <v>0.14499999999999999</v>
      </c>
      <c r="AR33" s="56">
        <v>0.156</v>
      </c>
      <c r="AS33" s="56">
        <v>3.6999999999999998E-2</v>
      </c>
      <c r="AT33" s="63">
        <v>0.22</v>
      </c>
      <c r="AU33" s="56">
        <v>9.4E-2</v>
      </c>
      <c r="AV33" s="56">
        <v>7.0000000000000007E-2</v>
      </c>
      <c r="AW33" s="56">
        <v>0.14199999999999999</v>
      </c>
      <c r="AX33" s="56">
        <v>0.161</v>
      </c>
      <c r="AY33" s="57">
        <v>0.13</v>
      </c>
      <c r="AZ33" s="57">
        <v>0.23599999999999999</v>
      </c>
      <c r="BA33" s="57">
        <v>0.41699999999999998</v>
      </c>
      <c r="BB33" s="56">
        <v>0.105</v>
      </c>
      <c r="BC33" s="56">
        <v>0.127</v>
      </c>
      <c r="BD33" s="56">
        <v>0.111</v>
      </c>
      <c r="BE33" s="67">
        <v>0</v>
      </c>
      <c r="BF33" s="61">
        <v>8.0000000000000002E-3</v>
      </c>
      <c r="BG33" s="44" t="str">
        <f t="shared" si="0"/>
        <v>new Food('169969','Broccoli frozen','Ingred','1','cup','184',['3.1','0.12','5.35','0.71','28','1.47','3','0.61','13','49','142','11','0.28','0.034','0.223','0.07','0','1.32','0','1','1095','40.1','0.055','0.081','0.458','0.274','0.13','0','16.2','86.1','33','56','0','0.032','0.101','0.121','0.145','0.156','0.037','0.22','0.094','0.07','0.142','0.161','0.13','0.236','0.417','0.105','0.127','0.111','0','0.008']),</v>
      </c>
    </row>
    <row r="34" spans="1:59" s="44" customFormat="1" ht="15" customHeight="1">
      <c r="A34" s="98">
        <v>2709573</v>
      </c>
      <c r="B34" s="44" t="s">
        <v>254</v>
      </c>
      <c r="C34" s="60" t="s">
        <v>311</v>
      </c>
      <c r="D34" s="174">
        <v>1</v>
      </c>
      <c r="E34" s="60" t="s">
        <v>70</v>
      </c>
      <c r="F34" s="110"/>
      <c r="G34" s="69">
        <v>3.17</v>
      </c>
      <c r="H34" s="69">
        <v>0.49</v>
      </c>
      <c r="I34" s="69">
        <v>2.85</v>
      </c>
      <c r="J34" s="69">
        <v>0</v>
      </c>
      <c r="K34" s="46">
        <v>22</v>
      </c>
      <c r="L34" s="46">
        <v>0.38</v>
      </c>
      <c r="M34" s="88">
        <v>2.7</v>
      </c>
      <c r="N34" s="46">
        <v>2.14</v>
      </c>
      <c r="O34" s="62">
        <v>22</v>
      </c>
      <c r="P34" s="62">
        <v>73</v>
      </c>
      <c r="Q34" s="46">
        <v>196</v>
      </c>
      <c r="R34" s="62">
        <v>33</v>
      </c>
      <c r="S34" s="62">
        <v>0.77</v>
      </c>
      <c r="T34" s="46">
        <v>4.2000000000000003E-2</v>
      </c>
      <c r="U34" s="62">
        <v>0</v>
      </c>
      <c r="V34" s="62">
        <v>1</v>
      </c>
      <c r="W34" s="62">
        <v>0</v>
      </c>
      <c r="X34" s="62">
        <v>1.62</v>
      </c>
      <c r="Y34" s="62">
        <v>0</v>
      </c>
      <c r="Z34" s="62">
        <v>0</v>
      </c>
      <c r="AA34" s="62">
        <v>1121</v>
      </c>
      <c r="AB34" s="62">
        <v>20.2</v>
      </c>
      <c r="AC34" s="62">
        <v>0.16200000000000001</v>
      </c>
      <c r="AD34" s="62">
        <v>0.129</v>
      </c>
      <c r="AE34" s="62">
        <v>1.2210000000000001</v>
      </c>
      <c r="AF34" s="62">
        <v>0</v>
      </c>
      <c r="AG34" s="46">
        <v>0.17100000000000001</v>
      </c>
      <c r="AH34" s="46">
        <v>0</v>
      </c>
      <c r="AI34" s="62">
        <v>18.3</v>
      </c>
      <c r="AJ34" s="62">
        <v>224</v>
      </c>
      <c r="AK34" s="62">
        <v>83</v>
      </c>
      <c r="AL34" s="88">
        <v>83</v>
      </c>
      <c r="AM34" s="62">
        <v>0</v>
      </c>
      <c r="AN34" s="80">
        <v>0</v>
      </c>
      <c r="AO34" s="62">
        <v>0</v>
      </c>
      <c r="AP34" s="62">
        <v>0</v>
      </c>
      <c r="AQ34" s="62">
        <v>0</v>
      </c>
      <c r="AR34" s="62">
        <v>0</v>
      </c>
      <c r="AS34" s="62">
        <v>0</v>
      </c>
      <c r="AT34" s="62">
        <v>0</v>
      </c>
      <c r="AU34" s="62">
        <v>0</v>
      </c>
      <c r="AV34" s="62">
        <v>0</v>
      </c>
      <c r="AW34" s="62">
        <v>0</v>
      </c>
      <c r="AX34" s="62">
        <v>0</v>
      </c>
      <c r="AY34" s="62">
        <v>0</v>
      </c>
      <c r="AZ34" s="62">
        <v>0</v>
      </c>
      <c r="BA34" s="62">
        <v>0</v>
      </c>
      <c r="BB34" s="62">
        <v>0</v>
      </c>
      <c r="BC34" s="62">
        <v>0</v>
      </c>
      <c r="BD34" s="62">
        <v>0</v>
      </c>
      <c r="BE34" s="62">
        <v>0</v>
      </c>
      <c r="BF34" s="62">
        <v>4.3999999999999997E-2</v>
      </c>
      <c r="BG34" s="44" t="str">
        <f t="shared" si="0"/>
        <v>new Food('2709573','Broccoli raab raw','Ingred','1','cup','',['3.17','0.49','2.85','0','22','0.38','2.7','2.14','22','73','196','33','0.77','0.042','0','1','0','1.62','0','0','1121','20.2','0.162','0.129','1.221','0','0.171','0','18.3','224','83','83','0','0','0','0','0','0','0','0','0','0','0','0','0','0','0','0','0','0','0','0.044']),</v>
      </c>
    </row>
    <row r="35" spans="1:59" s="44" customFormat="1" ht="15" customHeight="1">
      <c r="A35" s="101">
        <v>2709881</v>
      </c>
      <c r="B35" s="44" t="s">
        <v>255</v>
      </c>
      <c r="C35" s="60" t="s">
        <v>311</v>
      </c>
      <c r="D35" s="173">
        <v>1</v>
      </c>
      <c r="E35" s="58" t="s">
        <v>70</v>
      </c>
      <c r="F35" s="110"/>
      <c r="G35" s="69">
        <v>3.64</v>
      </c>
      <c r="H35" s="69">
        <v>0.39</v>
      </c>
      <c r="I35" s="69">
        <v>0.32</v>
      </c>
      <c r="J35" s="69">
        <v>0</v>
      </c>
      <c r="K35" s="62">
        <v>42</v>
      </c>
      <c r="L35" s="46">
        <v>2.08</v>
      </c>
      <c r="M35" s="88">
        <v>4.0999999999999996</v>
      </c>
      <c r="N35" s="46">
        <v>0.48</v>
      </c>
      <c r="O35" s="69">
        <v>18</v>
      </c>
      <c r="P35" s="69">
        <v>66</v>
      </c>
      <c r="Q35" s="69">
        <v>290</v>
      </c>
      <c r="R35" s="88">
        <v>15</v>
      </c>
      <c r="S35" s="88">
        <v>0.24</v>
      </c>
      <c r="T35" s="88">
        <v>3.4000000000000002E-2</v>
      </c>
      <c r="U35" s="88">
        <v>0</v>
      </c>
      <c r="V35" s="88">
        <v>0.6</v>
      </c>
      <c r="W35" s="88">
        <v>0</v>
      </c>
      <c r="X35" s="88">
        <v>0.51</v>
      </c>
      <c r="Y35" s="88">
        <v>0</v>
      </c>
      <c r="Z35" s="88">
        <v>0</v>
      </c>
      <c r="AA35" s="88">
        <v>1541</v>
      </c>
      <c r="AB35" s="88">
        <v>45.7</v>
      </c>
      <c r="AC35" s="88">
        <v>0.10299999999999999</v>
      </c>
      <c r="AD35" s="88">
        <v>0.113</v>
      </c>
      <c r="AE35" s="88">
        <v>0.53700000000000003</v>
      </c>
      <c r="AF35" s="88">
        <v>0</v>
      </c>
      <c r="AG35" s="88">
        <v>0.28899999999999998</v>
      </c>
      <c r="AH35" s="46">
        <v>0</v>
      </c>
      <c r="AI35" s="62">
        <v>18.100000000000001</v>
      </c>
      <c r="AJ35" s="46">
        <v>193.5</v>
      </c>
      <c r="AK35" s="46">
        <v>101</v>
      </c>
      <c r="AL35" s="88">
        <v>101</v>
      </c>
      <c r="AM35" s="46">
        <v>0</v>
      </c>
      <c r="AN35" s="80">
        <v>0</v>
      </c>
      <c r="AO35" s="46">
        <v>0</v>
      </c>
      <c r="AP35" s="46">
        <v>0</v>
      </c>
      <c r="AQ35" s="46">
        <v>0</v>
      </c>
      <c r="AR35" s="46">
        <v>0</v>
      </c>
      <c r="AS35" s="46">
        <v>0</v>
      </c>
      <c r="AT35" s="46">
        <v>0</v>
      </c>
      <c r="AU35" s="46">
        <v>0</v>
      </c>
      <c r="AV35" s="46">
        <v>0</v>
      </c>
      <c r="AW35" s="46">
        <v>0</v>
      </c>
      <c r="AX35" s="46">
        <v>0</v>
      </c>
      <c r="AY35" s="46">
        <v>0</v>
      </c>
      <c r="AZ35" s="46">
        <v>0</v>
      </c>
      <c r="BA35" s="46">
        <v>0</v>
      </c>
      <c r="BB35" s="46">
        <v>0</v>
      </c>
      <c r="BC35" s="46">
        <v>0</v>
      </c>
      <c r="BD35" s="46">
        <v>0</v>
      </c>
      <c r="BE35" s="46">
        <v>0</v>
      </c>
      <c r="BF35" s="46">
        <v>0.03</v>
      </c>
      <c r="BG35" s="44" t="str">
        <f t="shared" si="0"/>
        <v>new Food('2709881','Brussels sprouts frozen cooked','Ingred','1','cup','',['3.64','0.39','0.32','0','42','2.08','4.1','0.48','18','66','290','15','0.24','0.034','0','0.6','0','0.51','0','0','1541','45.7','0.103','0.113','0.537','0','0.289','0','18.1','193.5','101','101','0','0','0','0','0','0','0','0','0','0','0','0','0','0','0','0','0','0','0','0.03']),</v>
      </c>
    </row>
    <row r="36" spans="1:59" s="44" customFormat="1" ht="15" customHeight="1">
      <c r="A36" s="98">
        <v>2706761</v>
      </c>
      <c r="B36" s="44" t="s">
        <v>286</v>
      </c>
      <c r="C36" s="60" t="s">
        <v>311</v>
      </c>
      <c r="D36" s="174">
        <v>1</v>
      </c>
      <c r="E36" s="60" t="s">
        <v>70</v>
      </c>
      <c r="F36" s="110"/>
      <c r="G36" s="69">
        <v>1.53</v>
      </c>
      <c r="H36" s="69">
        <v>0.15</v>
      </c>
      <c r="I36" s="69">
        <v>17.34</v>
      </c>
      <c r="J36" s="69">
        <v>0</v>
      </c>
      <c r="K36" s="46">
        <v>72</v>
      </c>
      <c r="L36" s="62">
        <v>2.9</v>
      </c>
      <c r="M36" s="88">
        <v>3.3</v>
      </c>
      <c r="N36" s="46">
        <v>0.8</v>
      </c>
      <c r="O36" s="69">
        <v>38</v>
      </c>
      <c r="P36" s="69">
        <v>51</v>
      </c>
      <c r="Q36" s="69">
        <v>308</v>
      </c>
      <c r="R36" s="88">
        <v>5</v>
      </c>
      <c r="S36" s="88">
        <v>0.33</v>
      </c>
      <c r="T36" s="88">
        <v>7.6999999999999999E-2</v>
      </c>
      <c r="U36" s="88">
        <v>0</v>
      </c>
      <c r="V36" s="88">
        <v>0.7</v>
      </c>
      <c r="W36" s="88">
        <v>0</v>
      </c>
      <c r="X36" s="88">
        <v>0.38</v>
      </c>
      <c r="Y36" s="88">
        <v>0</v>
      </c>
      <c r="Z36" s="88">
        <v>0</v>
      </c>
      <c r="AA36" s="88">
        <v>0</v>
      </c>
      <c r="AB36" s="88">
        <v>3</v>
      </c>
      <c r="AC36" s="88">
        <v>0.01</v>
      </c>
      <c r="AD36" s="88">
        <v>0.3</v>
      </c>
      <c r="AE36" s="88">
        <v>0.3</v>
      </c>
      <c r="AF36" s="88">
        <v>0</v>
      </c>
      <c r="AG36" s="88">
        <v>0.24</v>
      </c>
      <c r="AH36" s="46">
        <v>0</v>
      </c>
      <c r="AI36" s="46">
        <v>11.7</v>
      </c>
      <c r="AJ36" s="46">
        <v>1.6</v>
      </c>
      <c r="AK36" s="46">
        <v>23</v>
      </c>
      <c r="AL36" s="88">
        <v>23</v>
      </c>
      <c r="AM36" s="46">
        <v>0</v>
      </c>
      <c r="AN36" s="80">
        <v>0</v>
      </c>
      <c r="AO36" s="46">
        <v>0</v>
      </c>
      <c r="AP36" s="46">
        <v>0</v>
      </c>
      <c r="AQ36" s="46">
        <v>0</v>
      </c>
      <c r="AR36" s="46">
        <v>0</v>
      </c>
      <c r="AS36" s="46">
        <v>0</v>
      </c>
      <c r="AT36" s="46">
        <v>0</v>
      </c>
      <c r="AU36" s="46">
        <v>0</v>
      </c>
      <c r="AV36" s="46">
        <v>0</v>
      </c>
      <c r="AW36" s="46">
        <v>0</v>
      </c>
      <c r="AX36" s="46">
        <v>0</v>
      </c>
      <c r="AY36" s="46">
        <v>0</v>
      </c>
      <c r="AZ36" s="46">
        <v>0</v>
      </c>
      <c r="BA36" s="46">
        <v>0</v>
      </c>
      <c r="BB36" s="46">
        <v>0</v>
      </c>
      <c r="BC36" s="46">
        <v>0</v>
      </c>
      <c r="BD36" s="46">
        <v>0</v>
      </c>
      <c r="BE36" s="46">
        <v>0</v>
      </c>
      <c r="BF36" s="46">
        <v>3.6999999999999998E-2</v>
      </c>
      <c r="BG36" s="44" t="str">
        <f t="shared" si="0"/>
        <v>new Food('2706761','Burdock root raw','Ingred','1','cup','',['1.53','0.15','17.34','0','72','2.9','3.3','0.8','38','51','308','5','0.33','0.077','0','0.7','0','0.38','0','0','0','3','0.01','0.3','0.3','0','0.24','0','11.7','1.6','23','23','0','0','0','0','0','0','0','0','0','0','0','0','0','0','0','0','0','0','0','0.037']),</v>
      </c>
    </row>
    <row r="37" spans="1:59" s="44" customFormat="1" ht="15" customHeight="1">
      <c r="A37" s="98">
        <v>173410</v>
      </c>
      <c r="B37" s="44" t="s">
        <v>386</v>
      </c>
      <c r="C37" s="60" t="s">
        <v>311</v>
      </c>
      <c r="D37" s="174">
        <v>0.88</v>
      </c>
      <c r="E37" s="60" t="s">
        <v>409</v>
      </c>
      <c r="F37" s="110">
        <v>100</v>
      </c>
      <c r="G37" s="46">
        <v>0.85</v>
      </c>
      <c r="H37" s="46">
        <v>81.099999999999994</v>
      </c>
      <c r="I37" s="62">
        <v>0.06</v>
      </c>
      <c r="J37" s="46">
        <v>2.11</v>
      </c>
      <c r="K37" s="46">
        <v>717</v>
      </c>
      <c r="L37" s="62">
        <v>0.06</v>
      </c>
      <c r="M37" s="88">
        <v>0</v>
      </c>
      <c r="N37" s="46">
        <v>0.02</v>
      </c>
      <c r="O37" s="46">
        <v>2</v>
      </c>
      <c r="P37" s="46">
        <v>24</v>
      </c>
      <c r="Q37" s="46">
        <v>24</v>
      </c>
      <c r="R37" s="46">
        <v>643</v>
      </c>
      <c r="S37" s="46">
        <v>0.09</v>
      </c>
      <c r="T37" s="46">
        <v>0</v>
      </c>
      <c r="U37" s="46">
        <v>0</v>
      </c>
      <c r="V37" s="46">
        <v>1</v>
      </c>
      <c r="W37" s="46">
        <v>671</v>
      </c>
      <c r="X37" s="46">
        <v>2.3199999999999998</v>
      </c>
      <c r="Y37" s="46">
        <v>0</v>
      </c>
      <c r="Z37" s="46">
        <v>0</v>
      </c>
      <c r="AA37" s="46">
        <v>0</v>
      </c>
      <c r="AB37" s="46">
        <v>0</v>
      </c>
      <c r="AC37" s="46">
        <v>5.0000000000000001E-3</v>
      </c>
      <c r="AD37" s="46">
        <v>3.4000000000000002E-2</v>
      </c>
      <c r="AE37" s="46">
        <v>4.2000000000000003E-2</v>
      </c>
      <c r="AF37" s="46">
        <v>0.11</v>
      </c>
      <c r="AG37" s="46">
        <v>3.0000000000000001E-3</v>
      </c>
      <c r="AH37" s="46">
        <v>0.17</v>
      </c>
      <c r="AI37" s="46">
        <v>18.8</v>
      </c>
      <c r="AJ37" s="46">
        <v>7</v>
      </c>
      <c r="AK37" s="46">
        <v>24</v>
      </c>
      <c r="AL37" s="88">
        <v>3</v>
      </c>
      <c r="AM37" s="46">
        <v>0.3</v>
      </c>
      <c r="AN37" s="80">
        <v>0</v>
      </c>
      <c r="AO37" s="46">
        <v>3.7999999999999999E-2</v>
      </c>
      <c r="AP37" s="46">
        <v>5.0999999999999997E-2</v>
      </c>
      <c r="AQ37" s="46">
        <v>8.3000000000000004E-2</v>
      </c>
      <c r="AR37" s="46">
        <v>6.7000000000000004E-2</v>
      </c>
      <c r="AS37" s="46">
        <v>2.1000000000000001E-2</v>
      </c>
      <c r="AT37" s="46">
        <v>8.0000000000000002E-3</v>
      </c>
      <c r="AU37" s="46">
        <v>4.1000000000000002E-2</v>
      </c>
      <c r="AV37" s="46">
        <v>4.1000000000000002E-2</v>
      </c>
      <c r="AW37" s="46">
        <v>5.7000000000000002E-2</v>
      </c>
      <c r="AX37" s="46">
        <v>3.1E-2</v>
      </c>
      <c r="AY37" s="46">
        <v>2.9000000000000001E-2</v>
      </c>
      <c r="AZ37" s="46">
        <v>6.4000000000000001E-2</v>
      </c>
      <c r="BA37" s="46">
        <v>0.17799999999999999</v>
      </c>
      <c r="BB37" s="46">
        <v>1.7999999999999999E-2</v>
      </c>
      <c r="BC37" s="46">
        <v>8.2000000000000003E-2</v>
      </c>
      <c r="BD37" s="46">
        <v>4.5999999999999999E-2</v>
      </c>
      <c r="BE37" s="46">
        <v>215</v>
      </c>
      <c r="BF37" s="46">
        <v>51.4</v>
      </c>
      <c r="BG37" s="44" t="str">
        <f t="shared" si="0"/>
        <v>new Food('173410','Butter','Ingred','0.88','stick','100',['0.85','81.1','0.06','2.11','717','0.06','0','0.02','2','24','24','643','0.09','0','0','1','671','2.32','0','0','0','0','0.005','0.034','0.042','0.11','0.003','0.17','18.8','7','24','3','0.3','0','0.038','0.051','0.083','0.067','0.021','0.008','0.041','0.041','0.057','0.031','0.029','0.064','0.178','0.018','0.082','0.046','215','51.4']),</v>
      </c>
    </row>
    <row r="38" spans="1:59" s="44" customFormat="1" ht="17.25" customHeight="1">
      <c r="A38" s="98">
        <v>2709893</v>
      </c>
      <c r="B38" s="45" t="s">
        <v>339</v>
      </c>
      <c r="C38" s="60" t="s">
        <v>311</v>
      </c>
      <c r="D38" s="174">
        <v>1</v>
      </c>
      <c r="E38" s="60" t="s">
        <v>70</v>
      </c>
      <c r="F38" s="110">
        <v>100</v>
      </c>
      <c r="G38" s="46">
        <v>1.28</v>
      </c>
      <c r="H38" s="62">
        <v>0.1</v>
      </c>
      <c r="I38" s="62">
        <v>5.8</v>
      </c>
      <c r="J38" s="46">
        <v>0</v>
      </c>
      <c r="K38" s="62">
        <v>25</v>
      </c>
      <c r="L38" s="46">
        <v>3.2</v>
      </c>
      <c r="M38" s="88">
        <v>2.5</v>
      </c>
      <c r="N38" s="62">
        <v>0.47</v>
      </c>
      <c r="O38" s="62">
        <v>12</v>
      </c>
      <c r="P38" s="62">
        <v>26</v>
      </c>
      <c r="Q38" s="46">
        <v>170</v>
      </c>
      <c r="R38" s="46">
        <v>18</v>
      </c>
      <c r="S38" s="46">
        <v>0</v>
      </c>
      <c r="T38" s="46">
        <v>0.18</v>
      </c>
      <c r="U38" s="46">
        <v>0</v>
      </c>
      <c r="V38" s="46">
        <v>0.3</v>
      </c>
      <c r="W38" s="62">
        <v>0</v>
      </c>
      <c r="X38" s="62">
        <v>0.15</v>
      </c>
      <c r="Y38" s="62"/>
      <c r="Z38" s="46"/>
      <c r="AA38" s="46">
        <v>30</v>
      </c>
      <c r="AB38" s="46">
        <v>36.6</v>
      </c>
      <c r="AC38" s="46">
        <v>6.0999999999999999E-2</v>
      </c>
      <c r="AD38" s="46">
        <v>0.04</v>
      </c>
      <c r="AE38" s="46">
        <v>0.23400000000000001</v>
      </c>
      <c r="AF38" s="46">
        <v>0</v>
      </c>
      <c r="AG38" s="46">
        <v>0.124</v>
      </c>
      <c r="AH38" s="46">
        <v>0</v>
      </c>
      <c r="AI38" s="46">
        <v>10.7</v>
      </c>
      <c r="AJ38" s="46">
        <v>75</v>
      </c>
      <c r="AK38" s="46">
        <v>43</v>
      </c>
      <c r="AL38" s="88">
        <v>43</v>
      </c>
      <c r="AM38" s="62">
        <v>0</v>
      </c>
      <c r="AN38" s="80">
        <v>0</v>
      </c>
      <c r="AO38" s="62">
        <v>0</v>
      </c>
      <c r="AP38" s="46">
        <v>0</v>
      </c>
      <c r="AQ38" s="46">
        <v>0</v>
      </c>
      <c r="AR38" s="46">
        <v>0</v>
      </c>
      <c r="AS38" s="46">
        <v>0</v>
      </c>
      <c r="AT38" s="46">
        <v>0</v>
      </c>
      <c r="AU38" s="46">
        <v>0</v>
      </c>
      <c r="AV38" s="46">
        <v>0</v>
      </c>
      <c r="AW38" s="46">
        <v>0</v>
      </c>
      <c r="AX38" s="46">
        <v>0</v>
      </c>
      <c r="AY38" s="46">
        <v>0</v>
      </c>
      <c r="AZ38" s="46">
        <v>0</v>
      </c>
      <c r="BA38" s="46">
        <v>0</v>
      </c>
      <c r="BB38" s="46">
        <v>0</v>
      </c>
      <c r="BC38" s="46">
        <v>0</v>
      </c>
      <c r="BD38" s="46">
        <v>0</v>
      </c>
      <c r="BE38" s="62">
        <v>0</v>
      </c>
      <c r="BF38" s="62">
        <v>1.7000000000000001E-2</v>
      </c>
      <c r="BG38" s="44" t="str">
        <f t="shared" si="0"/>
        <v>new Food('2709893','Cabbage green','Ingred','1','cup','100',['1.28','0.1','5.8','0','25','3.2','2.5','0.47','12','26','170','18','0','0.18','0','0.3','0','0.15','','','30','36.6','0.061','0.04','0.234','0','0.124','0','10.7','75','43','43','0','0','0','0','0','0','0','0','0','0','0','0','0','0','0','0','0','0','0','0.017']),</v>
      </c>
    </row>
    <row r="39" spans="1:59" s="44" customFormat="1" ht="17.25" customHeight="1">
      <c r="A39" s="98">
        <v>2709775</v>
      </c>
      <c r="B39" s="44" t="s">
        <v>288</v>
      </c>
      <c r="C39" s="60" t="s">
        <v>311</v>
      </c>
      <c r="D39" s="174">
        <v>1</v>
      </c>
      <c r="E39" s="60" t="s">
        <v>70</v>
      </c>
      <c r="F39" s="110">
        <v>100</v>
      </c>
      <c r="G39" s="46">
        <v>1.43</v>
      </c>
      <c r="H39" s="62">
        <v>0.16</v>
      </c>
      <c r="I39" s="62">
        <v>7.37</v>
      </c>
      <c r="J39" s="46">
        <v>0</v>
      </c>
      <c r="K39" s="46">
        <v>31</v>
      </c>
      <c r="L39" s="46">
        <v>3.83</v>
      </c>
      <c r="M39" s="88">
        <v>2.1</v>
      </c>
      <c r="N39" s="62">
        <v>0.8</v>
      </c>
      <c r="O39" s="62">
        <v>16</v>
      </c>
      <c r="P39" s="46">
        <v>30</v>
      </c>
      <c r="Q39" s="46">
        <v>243</v>
      </c>
      <c r="R39" s="46">
        <v>27</v>
      </c>
      <c r="S39" s="46">
        <v>0.22</v>
      </c>
      <c r="T39" s="46">
        <v>1.7000000000000001E-2</v>
      </c>
      <c r="U39" s="46">
        <v>0</v>
      </c>
      <c r="V39" s="46">
        <v>0.6</v>
      </c>
      <c r="W39" s="46">
        <v>0</v>
      </c>
      <c r="X39" s="46">
        <v>0.11</v>
      </c>
      <c r="Y39" s="46">
        <v>0</v>
      </c>
      <c r="Z39" s="46">
        <v>0</v>
      </c>
      <c r="AA39" s="46">
        <v>329</v>
      </c>
      <c r="AB39" s="46">
        <v>57</v>
      </c>
      <c r="AC39" s="46">
        <v>6.4000000000000001E-2</v>
      </c>
      <c r="AD39" s="46">
        <v>6.9000000000000006E-2</v>
      </c>
      <c r="AE39" s="46">
        <v>0.41799999999999998</v>
      </c>
      <c r="AF39" s="46">
        <v>0</v>
      </c>
      <c r="AG39" s="46">
        <v>0.20300000000000001</v>
      </c>
      <c r="AH39" s="62">
        <v>0</v>
      </c>
      <c r="AI39" s="46">
        <v>17.100000000000001</v>
      </c>
      <c r="AJ39" s="62">
        <v>38.200000000000003</v>
      </c>
      <c r="AK39" s="46">
        <v>18</v>
      </c>
      <c r="AL39" s="88">
        <v>18</v>
      </c>
      <c r="AM39" s="46"/>
      <c r="AN39" s="80">
        <v>0</v>
      </c>
      <c r="AO39" s="62">
        <v>0</v>
      </c>
      <c r="AP39" s="62">
        <v>0</v>
      </c>
      <c r="AQ39" s="62">
        <v>0</v>
      </c>
      <c r="AR39" s="62">
        <v>0</v>
      </c>
      <c r="AS39" s="62">
        <v>0</v>
      </c>
      <c r="AT39" s="62">
        <v>0</v>
      </c>
      <c r="AU39" s="62">
        <v>0</v>
      </c>
      <c r="AV39" s="62">
        <v>0</v>
      </c>
      <c r="AW39" s="62">
        <v>0</v>
      </c>
      <c r="AX39" s="46">
        <v>0</v>
      </c>
      <c r="AY39" s="46">
        <v>0</v>
      </c>
      <c r="AZ39" s="46">
        <v>0</v>
      </c>
      <c r="BA39" s="62">
        <v>0</v>
      </c>
      <c r="BB39" s="62">
        <v>0</v>
      </c>
      <c r="BC39" s="62">
        <v>0</v>
      </c>
      <c r="BD39" s="62">
        <v>0</v>
      </c>
      <c r="BE39" s="62">
        <v>0</v>
      </c>
      <c r="BF39" s="62">
        <v>1.2E-2</v>
      </c>
      <c r="BG39" s="44" t="str">
        <f t="shared" si="0"/>
        <v>new Food('2709775','Cabbage red','Ingred','1','cup','100',['1.43','0.16','7.37','0','31','3.83','2.1','0.8','16','30','243','27','0.22','0.017','0','0.6','0','0.11','0','0','329','57','0.064','0.069','0.418','0','0.203','0','17.1','38.2','18','18','','0','0','0','0','0','0','0','0','0','0','0','0','0','0','0','0','0','0','0.012']),</v>
      </c>
    </row>
    <row r="40" spans="1:59" s="44" customFormat="1" ht="15.75" customHeight="1">
      <c r="A40" s="98">
        <v>2345539</v>
      </c>
      <c r="B40" s="44" t="s">
        <v>312</v>
      </c>
      <c r="C40" s="50" t="s">
        <v>311</v>
      </c>
      <c r="D40" s="173">
        <v>1</v>
      </c>
      <c r="E40" s="58"/>
      <c r="F40" s="98">
        <v>25</v>
      </c>
      <c r="G40" s="62">
        <v>2.81</v>
      </c>
      <c r="H40" s="46">
        <v>4.7</v>
      </c>
      <c r="I40" s="46">
        <v>12.09</v>
      </c>
      <c r="J40" s="46">
        <v>0</v>
      </c>
      <c r="K40" s="46">
        <v>96</v>
      </c>
      <c r="L40" s="46">
        <v>4.8600000000000003</v>
      </c>
      <c r="M40" s="88">
        <v>3.2</v>
      </c>
      <c r="N40" s="46">
        <v>0.82</v>
      </c>
      <c r="O40" s="46">
        <v>26</v>
      </c>
      <c r="P40" s="46">
        <v>66</v>
      </c>
      <c r="Q40" s="46">
        <v>256</v>
      </c>
      <c r="R40" s="46">
        <v>224</v>
      </c>
      <c r="S40" s="46">
        <v>0.54</v>
      </c>
      <c r="T40" s="46">
        <v>8.5000000000000006E-2</v>
      </c>
      <c r="U40" s="46">
        <v>0</v>
      </c>
      <c r="V40" s="46">
        <v>0.8</v>
      </c>
      <c r="W40" s="46">
        <v>18</v>
      </c>
      <c r="X40" s="46">
        <v>0.87</v>
      </c>
      <c r="Y40" s="46">
        <v>0</v>
      </c>
      <c r="Z40" s="46">
        <v>26</v>
      </c>
      <c r="AA40" s="46">
        <v>936</v>
      </c>
      <c r="AB40" s="46">
        <v>13.6</v>
      </c>
      <c r="AC40" s="46">
        <v>0.125</v>
      </c>
      <c r="AD40" s="46">
        <v>8.2000000000000003E-2</v>
      </c>
      <c r="AE40" s="46">
        <v>1.2909999999999999</v>
      </c>
      <c r="AF40" s="46">
        <v>0</v>
      </c>
      <c r="AG40" s="46">
        <v>0.14599999999999999</v>
      </c>
      <c r="AH40" s="46">
        <v>0</v>
      </c>
      <c r="AI40" s="62">
        <v>18.8</v>
      </c>
      <c r="AJ40" s="62">
        <v>23.7</v>
      </c>
      <c r="AK40" s="46">
        <v>33</v>
      </c>
      <c r="AL40" s="88">
        <v>33</v>
      </c>
      <c r="AM40" s="62">
        <v>0</v>
      </c>
      <c r="AN40" s="80">
        <v>0</v>
      </c>
      <c r="AO40" s="46">
        <v>0</v>
      </c>
      <c r="AP40" s="46">
        <v>0</v>
      </c>
      <c r="AQ40" s="46">
        <v>0</v>
      </c>
      <c r="AR40" s="46">
        <v>0</v>
      </c>
      <c r="AS40" s="46">
        <v>0</v>
      </c>
      <c r="AT40" s="46">
        <v>0</v>
      </c>
      <c r="AU40" s="46">
        <v>0</v>
      </c>
      <c r="AV40" s="46">
        <v>0</v>
      </c>
      <c r="AW40" s="46">
        <v>0</v>
      </c>
      <c r="AX40" s="46">
        <v>0</v>
      </c>
      <c r="AY40" s="46">
        <v>0</v>
      </c>
      <c r="AZ40" s="46">
        <v>0</v>
      </c>
      <c r="BA40" s="46">
        <v>0</v>
      </c>
      <c r="BB40" s="46">
        <v>0</v>
      </c>
      <c r="BC40" s="46">
        <v>0</v>
      </c>
      <c r="BD40" s="46">
        <v>0</v>
      </c>
      <c r="BE40" s="46">
        <v>3</v>
      </c>
      <c r="BF40" s="46">
        <v>1.546</v>
      </c>
      <c r="BG40" s="44" t="str">
        <f t="shared" si="0"/>
        <v>new Food('2345539','Carrots fresh cooked','Ingred','1','','25',['2.81','4.7','12.09','0','96','4.86','3.2','0.82','26','66','256','224','0.54','0.085','0','0.8','18','0.87','0','26','936','13.6','0.125','0.082','1.291','0','0.146','0','18.8','23.7','33','33','0','0','0','0','0','0','0','0','0','0','0','0','0','0','0','0','0','0','3','1.546']),</v>
      </c>
    </row>
    <row r="41" spans="1:59" s="44" customFormat="1" ht="15" customHeight="1">
      <c r="A41" s="98">
        <v>2342243</v>
      </c>
      <c r="B41" s="44" t="s">
        <v>287</v>
      </c>
      <c r="C41" s="60" t="s">
        <v>311</v>
      </c>
      <c r="D41" s="171">
        <v>1</v>
      </c>
      <c r="E41" s="50" t="s">
        <v>410</v>
      </c>
      <c r="F41" s="110">
        <v>120</v>
      </c>
      <c r="G41" s="63">
        <v>13.97</v>
      </c>
      <c r="H41" s="56">
        <v>18.760000000000002</v>
      </c>
      <c r="I41" s="45">
        <v>2.8</v>
      </c>
      <c r="J41" s="44">
        <v>0</v>
      </c>
      <c r="K41" s="56">
        <v>235</v>
      </c>
      <c r="L41" s="56">
        <v>2.1</v>
      </c>
      <c r="M41" s="63">
        <v>0.4</v>
      </c>
      <c r="N41" s="56">
        <v>0.51</v>
      </c>
      <c r="O41" s="63">
        <v>15</v>
      </c>
      <c r="P41" s="56">
        <v>131</v>
      </c>
      <c r="Q41" s="56">
        <v>206</v>
      </c>
      <c r="R41" s="56">
        <v>480</v>
      </c>
      <c r="S41" s="56">
        <v>0.88</v>
      </c>
      <c r="T41" s="45">
        <v>4.9000000000000002E-2</v>
      </c>
      <c r="U41" s="56">
        <v>0</v>
      </c>
      <c r="V41" s="56">
        <v>12.7</v>
      </c>
      <c r="W41" s="56">
        <v>7</v>
      </c>
      <c r="X41" s="56">
        <v>0.98</v>
      </c>
      <c r="Y41" s="63">
        <v>0</v>
      </c>
      <c r="Z41" s="46">
        <v>18</v>
      </c>
      <c r="AA41" s="56">
        <v>82</v>
      </c>
      <c r="AB41" s="56">
        <v>0.8</v>
      </c>
      <c r="AC41" s="56">
        <v>4.2000000000000003E-2</v>
      </c>
      <c r="AD41" s="56">
        <v>0.111</v>
      </c>
      <c r="AE41" s="56">
        <v>3.9409999999999998</v>
      </c>
      <c r="AF41" s="56">
        <v>0</v>
      </c>
      <c r="AG41" s="56">
        <v>0.14499999999999999</v>
      </c>
      <c r="AH41" s="63">
        <v>0.21</v>
      </c>
      <c r="AI41" s="44">
        <v>42.4</v>
      </c>
      <c r="AJ41" s="63">
        <v>45.1</v>
      </c>
      <c r="AK41" s="45">
        <v>13</v>
      </c>
      <c r="AL41" s="63">
        <v>13</v>
      </c>
      <c r="AM41" s="44">
        <v>0</v>
      </c>
      <c r="AN41" s="63">
        <v>0</v>
      </c>
      <c r="AO41" s="63">
        <v>0</v>
      </c>
      <c r="AP41" s="56">
        <v>0</v>
      </c>
      <c r="AQ41" s="63">
        <v>0</v>
      </c>
      <c r="AR41" s="63">
        <v>0</v>
      </c>
      <c r="AS41" s="56">
        <v>0</v>
      </c>
      <c r="AT41" s="63">
        <v>0</v>
      </c>
      <c r="AU41" s="63">
        <v>0</v>
      </c>
      <c r="AV41" s="63">
        <v>0</v>
      </c>
      <c r="AW41" s="63">
        <v>0</v>
      </c>
      <c r="AX41" s="44">
        <v>0</v>
      </c>
      <c r="AY41" s="44">
        <v>0</v>
      </c>
      <c r="AZ41" s="44">
        <v>0</v>
      </c>
      <c r="BA41" s="56">
        <v>0</v>
      </c>
      <c r="BB41" s="63">
        <v>0</v>
      </c>
      <c r="BC41" s="63">
        <v>0</v>
      </c>
      <c r="BD41" s="63">
        <v>8.5489999999999995</v>
      </c>
      <c r="BE41" s="63">
        <v>66</v>
      </c>
      <c r="BF41" s="63">
        <v>4.8739999999999997</v>
      </c>
      <c r="BG41" s="44" t="str">
        <f t="shared" si="0"/>
        <v>new Food('2342243','Celery','Ingred','1','T','120',['13.97','18.76','2.8','0','235','2.1','0.4','0.51','15','131','206','480','0.88','0.049','0','12.7','7','0.98','0','18','82','0.8','0.042','0.111','3.941','0','0.145','0.21','42.4','45.1','13','13','0','0','0','0','0','0','0','0','0','0','0','0','0','0','0','0','0','8.549','66','4.874']),</v>
      </c>
    </row>
    <row r="42" spans="1:59" s="44" customFormat="1" ht="13.5" customHeight="1">
      <c r="A42" s="98">
        <v>2341197</v>
      </c>
      <c r="B42" s="44" t="s">
        <v>243</v>
      </c>
      <c r="C42" s="50" t="s">
        <v>311</v>
      </c>
      <c r="D42" s="171">
        <v>17</v>
      </c>
      <c r="E42" s="50" t="s">
        <v>411</v>
      </c>
      <c r="F42" s="110">
        <v>17</v>
      </c>
      <c r="G42" s="63">
        <v>7.5</v>
      </c>
      <c r="H42" s="63">
        <v>12.26</v>
      </c>
      <c r="I42" s="45">
        <v>6.32</v>
      </c>
      <c r="J42" s="44">
        <v>0</v>
      </c>
      <c r="K42" s="63">
        <v>165</v>
      </c>
      <c r="L42" s="63">
        <v>4.21</v>
      </c>
      <c r="M42" s="63">
        <v>0.1</v>
      </c>
      <c r="N42" s="56">
        <v>0.16</v>
      </c>
      <c r="O42" s="63">
        <v>16</v>
      </c>
      <c r="P42" s="56">
        <v>1.76</v>
      </c>
      <c r="Q42" s="56">
        <v>151</v>
      </c>
      <c r="R42" s="56">
        <v>280</v>
      </c>
      <c r="S42" s="56">
        <v>1.08</v>
      </c>
      <c r="T42" s="45">
        <v>1.0999999999999999E-2</v>
      </c>
      <c r="U42" s="56">
        <v>0</v>
      </c>
      <c r="V42" s="56">
        <v>7.3</v>
      </c>
      <c r="W42" s="56">
        <v>146</v>
      </c>
      <c r="X42" s="56">
        <v>0.61</v>
      </c>
      <c r="Y42" s="56">
        <v>0</v>
      </c>
      <c r="Z42" s="46">
        <v>0</v>
      </c>
      <c r="AA42" s="56">
        <v>0</v>
      </c>
      <c r="AB42" s="56">
        <v>0.1</v>
      </c>
      <c r="AC42" s="56">
        <v>5.8000000000000003E-2</v>
      </c>
      <c r="AD42" s="56">
        <v>0.21</v>
      </c>
      <c r="AE42" s="56">
        <v>0.24</v>
      </c>
      <c r="AF42" s="56">
        <v>0</v>
      </c>
      <c r="AG42" s="56">
        <v>0.05</v>
      </c>
      <c r="AH42" s="63">
        <v>0.38</v>
      </c>
      <c r="AI42" s="45">
        <v>14.6</v>
      </c>
      <c r="AJ42" s="63">
        <v>5.2</v>
      </c>
      <c r="AK42" s="45">
        <v>0</v>
      </c>
      <c r="AL42" s="63">
        <v>8</v>
      </c>
      <c r="AM42" s="44">
        <v>0</v>
      </c>
      <c r="AN42" s="63">
        <v>0</v>
      </c>
      <c r="AO42" s="56">
        <v>0</v>
      </c>
      <c r="AP42" s="56">
        <v>0</v>
      </c>
      <c r="AQ42" s="56">
        <v>0</v>
      </c>
      <c r="AR42" s="56">
        <v>0</v>
      </c>
      <c r="AS42" s="56">
        <v>0</v>
      </c>
      <c r="AT42" s="56">
        <v>0</v>
      </c>
      <c r="AU42" s="56">
        <v>0</v>
      </c>
      <c r="AV42" s="56">
        <v>0</v>
      </c>
      <c r="AW42" s="56">
        <v>0</v>
      </c>
      <c r="AX42" s="45">
        <v>0</v>
      </c>
      <c r="AY42" s="45">
        <v>0</v>
      </c>
      <c r="AZ42" s="45">
        <v>0</v>
      </c>
      <c r="BA42" s="56">
        <v>0</v>
      </c>
      <c r="BB42" s="56">
        <v>0</v>
      </c>
      <c r="BC42" s="56">
        <v>0</v>
      </c>
      <c r="BD42" s="56">
        <v>0</v>
      </c>
      <c r="BE42" s="56">
        <v>26</v>
      </c>
      <c r="BF42" s="56">
        <v>3.71</v>
      </c>
      <c r="BG42" s="44" t="str">
        <f t="shared" si="0"/>
        <v>new Food('2341197','Cheese cheddar','Ingred','17','gm','17',['7.5','12.26','6.32','0','165','4.21','0.1','0.16','16','1.76','151','280','1.08','0.011','0','7.3','146','0.61','0','0','0','0.1','0.058','0.21','0.24','0','0.05','0.38','14.6','5.2','0','8','0','0','0','0','0','0','0','0','0','0','0','0','0','0','0','0','0','0','26','3.71']),</v>
      </c>
    </row>
    <row r="43" spans="1:59" s="44" customFormat="1" ht="15.75" customHeight="1">
      <c r="A43" s="99">
        <v>173416</v>
      </c>
      <c r="B43" s="61" t="s">
        <v>114</v>
      </c>
      <c r="C43" s="60" t="s">
        <v>311</v>
      </c>
      <c r="D43" s="174">
        <v>1</v>
      </c>
      <c r="E43" s="60" t="s">
        <v>74</v>
      </c>
      <c r="F43" s="99">
        <v>28</v>
      </c>
      <c r="G43" s="56">
        <v>23.76</v>
      </c>
      <c r="H43" s="63">
        <v>32.11</v>
      </c>
      <c r="I43" s="44">
        <v>2.57</v>
      </c>
      <c r="J43" s="44">
        <v>3.36</v>
      </c>
      <c r="K43" s="61">
        <v>394</v>
      </c>
      <c r="L43" s="63">
        <v>0.52</v>
      </c>
      <c r="M43" s="57">
        <v>0</v>
      </c>
      <c r="N43" s="56">
        <v>0.76</v>
      </c>
      <c r="O43" s="56">
        <v>26</v>
      </c>
      <c r="P43" s="57">
        <v>457</v>
      </c>
      <c r="Q43" s="56">
        <v>127</v>
      </c>
      <c r="R43" s="57">
        <v>604</v>
      </c>
      <c r="S43" s="57">
        <v>3.07</v>
      </c>
      <c r="T43" s="57">
        <v>4.2000000000000003E-2</v>
      </c>
      <c r="U43" s="56">
        <v>1.2E-2</v>
      </c>
      <c r="V43" s="61">
        <v>14.5</v>
      </c>
      <c r="W43" s="57">
        <v>257</v>
      </c>
      <c r="X43" s="57">
        <v>0.28000000000000003</v>
      </c>
      <c r="Y43" s="61">
        <v>24</v>
      </c>
      <c r="Z43" s="56">
        <v>0</v>
      </c>
      <c r="AA43" s="57">
        <v>0</v>
      </c>
      <c r="AB43" s="56">
        <v>0</v>
      </c>
      <c r="AC43" s="56">
        <v>1.4999999999999999E-2</v>
      </c>
      <c r="AD43" s="56">
        <v>0.375</v>
      </c>
      <c r="AE43" s="56">
        <v>9.2999999999999999E-2</v>
      </c>
      <c r="AF43" s="57">
        <v>0.21</v>
      </c>
      <c r="AG43" s="57">
        <v>7.9000000000000001E-2</v>
      </c>
      <c r="AH43" s="56">
        <v>0.83</v>
      </c>
      <c r="AI43" s="56">
        <v>15.4</v>
      </c>
      <c r="AJ43" s="56">
        <v>2.7</v>
      </c>
      <c r="AK43" s="45">
        <v>685</v>
      </c>
      <c r="AL43" s="56">
        <v>18</v>
      </c>
      <c r="AM43" s="45">
        <v>0</v>
      </c>
      <c r="AN43" s="57">
        <v>0.30499999999999999</v>
      </c>
      <c r="AO43" s="57">
        <v>0.84499999999999997</v>
      </c>
      <c r="AP43" s="57">
        <v>1.4750000000000001</v>
      </c>
      <c r="AQ43" s="56">
        <v>2.2749999999999999</v>
      </c>
      <c r="AR43" s="57">
        <v>1.978</v>
      </c>
      <c r="AS43" s="57">
        <v>2.1999999999999999E-2</v>
      </c>
      <c r="AT43" s="57">
        <v>0.11899999999999999</v>
      </c>
      <c r="AU43" s="56">
        <v>1.2509999999999999</v>
      </c>
      <c r="AV43" s="56">
        <v>1.147</v>
      </c>
      <c r="AW43" s="57">
        <v>1.5860000000000001</v>
      </c>
      <c r="AX43" s="46">
        <v>0.89800000000000002</v>
      </c>
      <c r="AY43" s="46">
        <v>0.67</v>
      </c>
      <c r="AZ43" s="45">
        <v>1.5269999999999999</v>
      </c>
      <c r="BA43" s="56">
        <v>5.8129999999999997</v>
      </c>
      <c r="BB43" s="57">
        <v>0.41</v>
      </c>
      <c r="BC43" s="57">
        <v>2.6779999999999999</v>
      </c>
      <c r="BD43" s="56">
        <v>1.389</v>
      </c>
      <c r="BE43" s="57">
        <v>95</v>
      </c>
      <c r="BF43" s="56">
        <v>9.2799999999999994</v>
      </c>
      <c r="BG43" s="44" t="str">
        <f t="shared" si="0"/>
        <v>new Food('173416','Cheese colby','Ingred','1','oz','28',['23.76','32.11','2.57','3.36','394','0.52','0','0.76','26','457','127','604','3.07','0.042','0.012','14.5','257','0.28','24','0','0','0','0.015','0.375','0.093','0.21','0.079','0.83','15.4','2.7','685','18','0','0.305','0.845','1.475','2.275','1.978','0.022','0.119','1.251','1.147','1.586','0.898','0.67','1.527','5.813','0.41','2.678','1.389','95','9.28']),</v>
      </c>
    </row>
    <row r="44" spans="1:59" s="44" customFormat="1" ht="15" customHeight="1">
      <c r="A44" s="99">
        <v>173418</v>
      </c>
      <c r="B44" s="61" t="s">
        <v>115</v>
      </c>
      <c r="C44" s="60" t="s">
        <v>311</v>
      </c>
      <c r="D44" s="174">
        <v>1</v>
      </c>
      <c r="E44" s="60" t="s">
        <v>74</v>
      </c>
      <c r="F44" s="99">
        <v>28.35</v>
      </c>
      <c r="G44" s="56">
        <v>0.15</v>
      </c>
      <c r="H44" s="56">
        <v>34.44</v>
      </c>
      <c r="I44" s="56">
        <v>5.52</v>
      </c>
      <c r="J44" s="63">
        <v>1.27</v>
      </c>
      <c r="K44" s="57">
        <v>350</v>
      </c>
      <c r="L44" s="56">
        <v>3.76</v>
      </c>
      <c r="M44" s="57">
        <v>0</v>
      </c>
      <c r="N44" s="56">
        <v>0.11</v>
      </c>
      <c r="O44" s="57">
        <v>9</v>
      </c>
      <c r="P44" s="56">
        <v>107</v>
      </c>
      <c r="Q44" s="56">
        <v>132</v>
      </c>
      <c r="R44" s="56">
        <v>314</v>
      </c>
      <c r="S44" s="57">
        <v>0.5</v>
      </c>
      <c r="T44" s="57">
        <v>1.7999999999999999E-2</v>
      </c>
      <c r="U44" s="56">
        <v>1.0999999999999999E-2</v>
      </c>
      <c r="V44" s="56">
        <v>8.6</v>
      </c>
      <c r="W44" s="56">
        <v>303</v>
      </c>
      <c r="X44" s="57">
        <v>0.86</v>
      </c>
      <c r="Y44" s="57">
        <v>0</v>
      </c>
      <c r="Z44" s="56">
        <v>2</v>
      </c>
      <c r="AA44" s="57">
        <v>7</v>
      </c>
      <c r="AB44" s="56">
        <v>0</v>
      </c>
      <c r="AC44" s="56">
        <v>2.3E-2</v>
      </c>
      <c r="AD44" s="56">
        <v>0.23</v>
      </c>
      <c r="AE44" s="56">
        <v>9.0999999999999998E-2</v>
      </c>
      <c r="AF44" s="56">
        <v>0.51700000000000002</v>
      </c>
      <c r="AG44" s="57">
        <v>5.6000000000000001E-2</v>
      </c>
      <c r="AH44" s="56">
        <v>0.22</v>
      </c>
      <c r="AI44" s="56">
        <v>26.8</v>
      </c>
      <c r="AJ44" s="56">
        <v>2.1</v>
      </c>
      <c r="AK44" s="56">
        <v>97</v>
      </c>
      <c r="AL44" s="56">
        <v>9</v>
      </c>
      <c r="AM44" s="56">
        <v>0</v>
      </c>
      <c r="AN44" s="56">
        <v>6.9000000000000006E-2</v>
      </c>
      <c r="AO44" s="56">
        <v>0.23300000000000001</v>
      </c>
      <c r="AP44" s="57">
        <v>0.32400000000000001</v>
      </c>
      <c r="AQ44" s="56">
        <v>3.76</v>
      </c>
      <c r="AR44" s="56">
        <v>0.56699999999999995</v>
      </c>
      <c r="AS44" s="56">
        <v>0.191</v>
      </c>
      <c r="AT44" s="57">
        <v>4.2000000000000003E-2</v>
      </c>
      <c r="AU44" s="56">
        <v>0.29099999999999998</v>
      </c>
      <c r="AV44" s="56">
        <v>0.30299999999999999</v>
      </c>
      <c r="AW44" s="56">
        <v>0.39500000000000002</v>
      </c>
      <c r="AX44" s="56">
        <v>0.23499999999999999</v>
      </c>
      <c r="AY44" s="46">
        <v>0.184</v>
      </c>
      <c r="AZ44" s="56">
        <v>0.51400000000000001</v>
      </c>
      <c r="BA44" s="56">
        <v>1.304</v>
      </c>
      <c r="BB44" s="57">
        <v>0.14199999999999999</v>
      </c>
      <c r="BC44" s="57">
        <v>0.66500000000000004</v>
      </c>
      <c r="BD44" s="56">
        <v>0.374</v>
      </c>
      <c r="BE44" s="57">
        <v>101</v>
      </c>
      <c r="BF44" s="56">
        <v>8.907</v>
      </c>
      <c r="BG44" s="44" t="str">
        <f t="shared" si="0"/>
        <v>new Food('173418','Cheese cream','Ingred','1','oz','28.35',['0.15','34.44','5.52','1.27','350','3.76','0','0.11','9','107','132','314','0.5','0.018','0.011','8.6','303','0.86','0','2','7','0','0.023','0.23','0.091','0.517','0.056','0.22','26.8','2.1','97','9','0','0.069','0.233','0.324','3.76','0.567','0.191','0.042','0.291','0.303','0.395','0.235','0.184','0.514','1.304','0.142','0.665','0.374','101','8.907']),</v>
      </c>
    </row>
    <row r="45" spans="1:59" s="44" customFormat="1" ht="15" customHeight="1">
      <c r="A45" s="99">
        <v>171288</v>
      </c>
      <c r="B45" s="57" t="s">
        <v>113</v>
      </c>
      <c r="C45" s="60" t="s">
        <v>311</v>
      </c>
      <c r="D45" s="174">
        <v>0.25</v>
      </c>
      <c r="E45" s="60" t="s">
        <v>70</v>
      </c>
      <c r="F45" s="99">
        <v>28</v>
      </c>
      <c r="G45" s="45">
        <v>23.54</v>
      </c>
      <c r="H45" s="45">
        <v>32.14</v>
      </c>
      <c r="I45" s="44">
        <v>0.13</v>
      </c>
      <c r="J45" s="45">
        <v>3.72</v>
      </c>
      <c r="K45" s="44">
        <v>384</v>
      </c>
      <c r="L45" s="45">
        <v>0</v>
      </c>
      <c r="M45" s="45">
        <v>0</v>
      </c>
      <c r="N45" s="44">
        <v>0.59</v>
      </c>
      <c r="O45" s="44">
        <v>25</v>
      </c>
      <c r="P45" s="45">
        <v>438</v>
      </c>
      <c r="Q45" s="45">
        <v>85</v>
      </c>
      <c r="R45" s="44">
        <v>607</v>
      </c>
      <c r="S45" s="45">
        <v>3.01</v>
      </c>
      <c r="T45" s="45">
        <v>2.5000000000000001E-2</v>
      </c>
      <c r="U45" s="44">
        <v>2.1999999999999999E-2</v>
      </c>
      <c r="V45" s="45">
        <v>15</v>
      </c>
      <c r="W45" s="44">
        <v>170</v>
      </c>
      <c r="X45" s="44">
        <v>0.25</v>
      </c>
      <c r="Y45" s="45">
        <v>21</v>
      </c>
      <c r="Z45" s="62">
        <v>0</v>
      </c>
      <c r="AA45" s="46">
        <v>0</v>
      </c>
      <c r="AB45" s="44">
        <v>0</v>
      </c>
      <c r="AC45" s="45">
        <v>2.3E-2</v>
      </c>
      <c r="AD45" s="45">
        <v>0.318</v>
      </c>
      <c r="AE45" s="44">
        <v>0.114</v>
      </c>
      <c r="AF45" s="45">
        <v>0.249</v>
      </c>
      <c r="AG45" s="45">
        <v>6.0999999999999999E-2</v>
      </c>
      <c r="AH45" s="45">
        <v>1.23</v>
      </c>
      <c r="AI45" s="56">
        <v>15.7</v>
      </c>
      <c r="AJ45" s="45">
        <v>2.5</v>
      </c>
      <c r="AK45" s="44">
        <v>659</v>
      </c>
      <c r="AL45" s="45">
        <v>13</v>
      </c>
      <c r="AM45" s="44">
        <v>0.2</v>
      </c>
      <c r="AN45" s="45">
        <v>0.35499999999999998</v>
      </c>
      <c r="AO45" s="44">
        <v>0.86899999999999999</v>
      </c>
      <c r="AP45" s="44">
        <v>1.3560000000000001</v>
      </c>
      <c r="AQ45" s="45">
        <v>2.17</v>
      </c>
      <c r="AR45" s="44">
        <v>1.655</v>
      </c>
      <c r="AS45" s="44">
        <v>0.6</v>
      </c>
      <c r="AT45" s="44">
        <v>0.11700000000000001</v>
      </c>
      <c r="AU45" s="44">
        <v>1.2</v>
      </c>
      <c r="AV45" s="44">
        <v>1.127</v>
      </c>
      <c r="AW45" s="45">
        <v>1.5109999999999999</v>
      </c>
      <c r="AX45" s="62">
        <v>0.78500000000000003</v>
      </c>
      <c r="AY45" s="62">
        <v>0.05</v>
      </c>
      <c r="AZ45" s="45">
        <v>1.57</v>
      </c>
      <c r="BA45" s="44">
        <v>5.4029999999999996</v>
      </c>
      <c r="BB45" s="44">
        <v>0.40300000000000002</v>
      </c>
      <c r="BC45" s="44">
        <v>2.58</v>
      </c>
      <c r="BD45" s="44">
        <v>1.198</v>
      </c>
      <c r="BE45" s="61">
        <v>95</v>
      </c>
      <c r="BF45" s="44">
        <v>7.8710000000000004</v>
      </c>
      <c r="BG45" s="44" t="str">
        <f t="shared" si="0"/>
        <v>new Food('171288','Cheese Mexican blend','Ingred','0.25','cup','28',['23.54','32.14','0.13','3.72','384','0','0','0.59','25','438','85','607','3.01','0.025','0.022','15','170','0.25','21','0','0','0','0.023','0.318','0.114','0.249','0.061','1.23','15.7','2.5','659','13','0.2','0.355','0.869','1.356','2.17','1.655','0.6','0.117','1.2','1.127','1.511','0.785','0.05','1.57','5.403','0.403','2.58','1.198','95','7.871']),</v>
      </c>
    </row>
    <row r="46" spans="1:59" s="44" customFormat="1" ht="15" customHeight="1">
      <c r="A46" s="99">
        <v>170844</v>
      </c>
      <c r="B46" s="61" t="s">
        <v>112</v>
      </c>
      <c r="C46" s="58" t="s">
        <v>311</v>
      </c>
      <c r="D46" s="174">
        <v>1</v>
      </c>
      <c r="E46" s="60" t="s">
        <v>74</v>
      </c>
      <c r="F46" s="99">
        <v>28</v>
      </c>
      <c r="G46" s="44">
        <v>24.48</v>
      </c>
      <c r="H46" s="44">
        <v>30.28</v>
      </c>
      <c r="I46" s="44">
        <v>0.68</v>
      </c>
      <c r="J46" s="44">
        <v>3.55</v>
      </c>
      <c r="K46" s="44">
        <v>373</v>
      </c>
      <c r="L46" s="44">
        <v>0.5</v>
      </c>
      <c r="M46" s="44">
        <v>0</v>
      </c>
      <c r="N46" s="45">
        <v>0.72</v>
      </c>
      <c r="O46" s="44">
        <v>27</v>
      </c>
      <c r="P46" s="45">
        <v>444</v>
      </c>
      <c r="Q46" s="45">
        <v>81</v>
      </c>
      <c r="R46" s="44">
        <v>600</v>
      </c>
      <c r="S46" s="44">
        <v>3</v>
      </c>
      <c r="T46" s="44">
        <v>3.2000000000000001E-2</v>
      </c>
      <c r="U46" s="44">
        <v>1.0999999999999999E-2</v>
      </c>
      <c r="V46" s="44">
        <v>14.5</v>
      </c>
      <c r="W46" s="44">
        <v>192</v>
      </c>
      <c r="X46" s="44">
        <v>0.26</v>
      </c>
      <c r="Y46" s="44">
        <v>22</v>
      </c>
      <c r="Z46" s="62">
        <v>0</v>
      </c>
      <c r="AA46" s="46">
        <v>0</v>
      </c>
      <c r="AB46" s="45">
        <v>0</v>
      </c>
      <c r="AC46" s="45">
        <v>1.4999999999999999E-2</v>
      </c>
      <c r="AD46" s="45">
        <v>0.39</v>
      </c>
      <c r="AE46" s="45">
        <v>9.2999999999999999E-2</v>
      </c>
      <c r="AF46" s="45">
        <v>0.21</v>
      </c>
      <c r="AG46" s="45">
        <v>7.9000000000000001E-2</v>
      </c>
      <c r="AH46" s="44">
        <v>0</v>
      </c>
      <c r="AI46" s="44">
        <v>15.4</v>
      </c>
      <c r="AJ46" s="44">
        <v>2.5</v>
      </c>
      <c r="AK46" s="44">
        <v>746</v>
      </c>
      <c r="AL46" s="44">
        <v>18</v>
      </c>
      <c r="AM46" s="45">
        <v>0</v>
      </c>
      <c r="AN46" s="44">
        <v>0.315</v>
      </c>
      <c r="AO46" s="45">
        <v>0.871</v>
      </c>
      <c r="AP46" s="44">
        <v>1.5189999999999999</v>
      </c>
      <c r="AQ46" s="44">
        <v>2.3439999999999999</v>
      </c>
      <c r="AR46" s="44">
        <v>2.0369999999999999</v>
      </c>
      <c r="AS46" s="44">
        <v>0.64100000000000001</v>
      </c>
      <c r="AT46" s="44">
        <v>0.123</v>
      </c>
      <c r="AU46" s="44">
        <v>1.2889999999999999</v>
      </c>
      <c r="AV46" s="44">
        <v>1.1819999999999999</v>
      </c>
      <c r="AW46" s="45">
        <v>1.635</v>
      </c>
      <c r="AX46" s="62">
        <v>0.15</v>
      </c>
      <c r="AY46" s="62">
        <v>0.69099999999999995</v>
      </c>
      <c r="AZ46" s="44">
        <v>1.573</v>
      </c>
      <c r="BA46" s="44">
        <v>5.99</v>
      </c>
      <c r="BB46" s="44">
        <v>0.42199999999999999</v>
      </c>
      <c r="BC46" s="44">
        <v>2.7589999999999999</v>
      </c>
      <c r="BD46" s="44">
        <v>1.431</v>
      </c>
      <c r="BE46" s="45">
        <v>89</v>
      </c>
      <c r="BF46" s="45">
        <v>8.7509999999999994</v>
      </c>
      <c r="BG46" s="44" t="str">
        <f t="shared" si="0"/>
        <v>new Food('170844','Cheese monterey','Ingred','1','oz','28',['24.48','30.28','0.68','3.55','373','0.5','0','0.72','27','444','81','600','3','0.032','0.011','14.5','192','0.26','22','0','0','0','0.015','0.39','0.093','0.21','0.079','0','15.4','2.5','746','18','0','0.315','0.871','1.519','2.344','2.037','0.641','0.123','1.289','1.182','1.635','0.15','0.691','1.573','5.99','0.422','2.759','1.431','89','8.751']),</v>
      </c>
    </row>
    <row r="47" spans="1:59" s="44" customFormat="1" ht="15" customHeight="1">
      <c r="A47" s="98">
        <v>2343109</v>
      </c>
      <c r="B47" s="44" t="s">
        <v>292</v>
      </c>
      <c r="C47" s="50" t="s">
        <v>311</v>
      </c>
      <c r="D47" s="171">
        <v>1</v>
      </c>
      <c r="E47" s="50"/>
      <c r="F47" s="98">
        <v>15</v>
      </c>
      <c r="G47" s="62">
        <v>10.36</v>
      </c>
      <c r="H47" s="46">
        <v>17.100000000000001</v>
      </c>
      <c r="I47" s="62">
        <v>36.86</v>
      </c>
      <c r="J47" s="62">
        <v>0</v>
      </c>
      <c r="K47" s="62">
        <v>343</v>
      </c>
      <c r="L47" s="62">
        <v>3.44</v>
      </c>
      <c r="M47" s="46">
        <v>2.2000000000000002</v>
      </c>
      <c r="N47" s="46">
        <v>2.68</v>
      </c>
      <c r="O47" s="46">
        <v>24</v>
      </c>
      <c r="P47" s="46">
        <v>145</v>
      </c>
      <c r="Q47" s="46">
        <v>105</v>
      </c>
      <c r="R47" s="46">
        <v>564</v>
      </c>
      <c r="S47" s="62">
        <v>1.23</v>
      </c>
      <c r="T47" s="62">
        <v>0.09</v>
      </c>
      <c r="U47" s="46">
        <v>0</v>
      </c>
      <c r="V47" s="62">
        <v>17.899999999999999</v>
      </c>
      <c r="W47" s="62">
        <v>38</v>
      </c>
      <c r="X47" s="62">
        <v>1.0900000000000001</v>
      </c>
      <c r="Y47" s="62">
        <v>0</v>
      </c>
      <c r="Z47" s="46">
        <v>0</v>
      </c>
      <c r="AA47" s="46">
        <v>22</v>
      </c>
      <c r="AB47" s="46">
        <v>0.2</v>
      </c>
      <c r="AC47" s="46">
        <v>0.38500000000000001</v>
      </c>
      <c r="AD47" s="62">
        <v>0.20699999999999999</v>
      </c>
      <c r="AE47" s="46">
        <v>3.6150000000000002</v>
      </c>
      <c r="AF47" s="62">
        <v>0</v>
      </c>
      <c r="AG47" s="62">
        <v>0.08</v>
      </c>
      <c r="AH47" s="46">
        <v>0.27</v>
      </c>
      <c r="AI47" s="46">
        <v>9.1</v>
      </c>
      <c r="AJ47" s="46">
        <v>39</v>
      </c>
      <c r="AK47" s="46">
        <v>110</v>
      </c>
      <c r="AL47" s="46">
        <v>176</v>
      </c>
      <c r="AM47" s="46">
        <v>0</v>
      </c>
      <c r="AN47" s="46">
        <v>0</v>
      </c>
      <c r="AO47" s="46">
        <v>0</v>
      </c>
      <c r="AP47" s="46">
        <v>0</v>
      </c>
      <c r="AQ47" s="46">
        <v>0</v>
      </c>
      <c r="AR47" s="46">
        <v>0</v>
      </c>
      <c r="AS47" s="46">
        <v>0</v>
      </c>
      <c r="AT47" s="46">
        <v>0</v>
      </c>
      <c r="AU47" s="46">
        <v>0</v>
      </c>
      <c r="AV47" s="46">
        <v>0</v>
      </c>
      <c r="AW47" s="46">
        <v>0</v>
      </c>
      <c r="AX47" s="46">
        <v>0</v>
      </c>
      <c r="AY47" s="46">
        <v>0</v>
      </c>
      <c r="AZ47" s="46">
        <v>0</v>
      </c>
      <c r="BA47" s="46">
        <v>0</v>
      </c>
      <c r="BB47" s="46">
        <v>0</v>
      </c>
      <c r="BC47" s="46">
        <v>0</v>
      </c>
      <c r="BD47" s="46">
        <v>0</v>
      </c>
      <c r="BE47" s="46">
        <v>8</v>
      </c>
      <c r="BF47" s="46">
        <v>4.67</v>
      </c>
      <c r="BG47" s="44" t="str">
        <f t="shared" si="0"/>
        <v>new Food('2343109','Cheese mozzarella','Ingred','1','','15',['10.36','17.1','36.86','0','343','3.44','2.2','2.68','24','145','105','564','1.23','0.09','0','17.9','38','1.09','0','0','22','0.2','0.385','0.207','3.615','0','0.08','0.27','9.1','39','110','176','0','0','0','0','0','0','0','0','0','0','0','0','0','0','0','0','0','0','8','4.67']),</v>
      </c>
    </row>
    <row r="48" spans="1:59" s="44" customFormat="1" ht="15" customHeight="1">
      <c r="A48" s="97">
        <v>325036</v>
      </c>
      <c r="B48" s="61" t="s">
        <v>291</v>
      </c>
      <c r="C48" s="60" t="s">
        <v>311</v>
      </c>
      <c r="D48" s="174">
        <v>1</v>
      </c>
      <c r="E48" s="60" t="s">
        <v>70</v>
      </c>
      <c r="F48" s="97">
        <v>250</v>
      </c>
      <c r="G48" s="56">
        <v>8.74</v>
      </c>
      <c r="H48" s="63">
        <v>6.25</v>
      </c>
      <c r="I48" s="63">
        <v>14.46</v>
      </c>
      <c r="J48" s="63">
        <v>0</v>
      </c>
      <c r="K48" s="63">
        <v>148</v>
      </c>
      <c r="L48" s="63">
        <v>1.73</v>
      </c>
      <c r="M48" s="56">
        <v>1</v>
      </c>
      <c r="N48" s="63">
        <v>2.1</v>
      </c>
      <c r="O48" s="63">
        <v>16</v>
      </c>
      <c r="P48" s="56">
        <v>91</v>
      </c>
      <c r="Q48" s="63">
        <v>217</v>
      </c>
      <c r="R48" s="63">
        <v>593</v>
      </c>
      <c r="S48" s="56">
        <v>1.6</v>
      </c>
      <c r="T48" s="63">
        <v>0.11700000000000001</v>
      </c>
      <c r="U48" s="63">
        <v>0</v>
      </c>
      <c r="V48" s="63">
        <v>10.6</v>
      </c>
      <c r="W48" s="63">
        <v>35</v>
      </c>
      <c r="X48" s="63">
        <v>0.82</v>
      </c>
      <c r="Y48" s="63">
        <v>0</v>
      </c>
      <c r="Z48" s="63">
        <v>2</v>
      </c>
      <c r="AA48" s="63">
        <v>61</v>
      </c>
      <c r="AB48" s="63">
        <v>2.8</v>
      </c>
      <c r="AC48" s="56">
        <v>0.13400000000000001</v>
      </c>
      <c r="AD48" s="56">
        <v>0.16300000000000001</v>
      </c>
      <c r="AE48" s="56">
        <v>2.258</v>
      </c>
      <c r="AF48" s="63">
        <v>0</v>
      </c>
      <c r="AG48" s="63">
        <v>0.12</v>
      </c>
      <c r="AH48" s="56">
        <v>0.61</v>
      </c>
      <c r="AI48" s="63">
        <v>51.2</v>
      </c>
      <c r="AJ48" s="56">
        <v>3.5</v>
      </c>
      <c r="AK48" s="63">
        <v>13</v>
      </c>
      <c r="AL48" s="56">
        <v>37</v>
      </c>
      <c r="AM48" s="56">
        <v>0</v>
      </c>
      <c r="AN48" s="56">
        <v>0</v>
      </c>
      <c r="AO48" s="56">
        <v>0</v>
      </c>
      <c r="AP48" s="56">
        <v>0</v>
      </c>
      <c r="AQ48" s="63">
        <v>0</v>
      </c>
      <c r="AR48" s="56">
        <v>0</v>
      </c>
      <c r="AS48" s="56">
        <v>0</v>
      </c>
      <c r="AT48" s="63">
        <v>0</v>
      </c>
      <c r="AU48" s="63">
        <v>0</v>
      </c>
      <c r="AV48" s="56">
        <v>0</v>
      </c>
      <c r="AW48" s="56">
        <v>0</v>
      </c>
      <c r="AX48" s="63">
        <v>0</v>
      </c>
      <c r="AY48" s="46">
        <v>0</v>
      </c>
      <c r="AZ48" s="56">
        <v>0</v>
      </c>
      <c r="BA48" s="63">
        <v>0</v>
      </c>
      <c r="BB48" s="56">
        <v>0</v>
      </c>
      <c r="BC48" s="63">
        <v>0</v>
      </c>
      <c r="BD48" s="56">
        <v>0</v>
      </c>
      <c r="BE48" s="57">
        <v>65</v>
      </c>
      <c r="BF48" s="56">
        <v>2.593</v>
      </c>
      <c r="BG48" s="44" t="str">
        <f t="shared" si="0"/>
        <v>new Food('325036','Cheese parmesan','Ingred','1','cup','250',['8.74','6.25','14.46','0','148','1.73','1','2.1','16','91','217','593','1.6','0.117','0','10.6','35','0.82','0','2','61','2.8','0.134','0.163','2.258','0','0.12','0.61','51.2','3.5','13','37','0','0','0','0','0','0','0','0','0','0','0','0','0','0','0','0','0','0','65','2.593']),</v>
      </c>
    </row>
    <row r="49" spans="1:71" s="44" customFormat="1" ht="15" customHeight="1">
      <c r="A49" s="97">
        <v>2344213</v>
      </c>
      <c r="B49" s="57" t="s">
        <v>293</v>
      </c>
      <c r="C49" s="60" t="s">
        <v>311</v>
      </c>
      <c r="D49" s="173">
        <v>1</v>
      </c>
      <c r="E49" s="58" t="s">
        <v>70</v>
      </c>
      <c r="F49" s="97">
        <v>120</v>
      </c>
      <c r="G49" s="44">
        <v>7.51</v>
      </c>
      <c r="H49" s="44">
        <v>15.48</v>
      </c>
      <c r="I49" s="44">
        <v>100.12</v>
      </c>
      <c r="J49" s="44">
        <v>0</v>
      </c>
      <c r="K49" s="44">
        <v>211</v>
      </c>
      <c r="L49" s="44">
        <v>0.41</v>
      </c>
      <c r="M49" s="45">
        <v>1</v>
      </c>
      <c r="N49" s="45">
        <v>1.33</v>
      </c>
      <c r="O49" s="45">
        <v>48</v>
      </c>
      <c r="P49" s="45">
        <v>127</v>
      </c>
      <c r="Q49" s="45">
        <v>258</v>
      </c>
      <c r="R49" s="44">
        <v>406</v>
      </c>
      <c r="S49" s="44">
        <v>1.01</v>
      </c>
      <c r="T49" s="45">
        <v>0.06</v>
      </c>
      <c r="U49" s="44">
        <v>0</v>
      </c>
      <c r="V49" s="44">
        <v>11.6</v>
      </c>
      <c r="W49" s="44">
        <v>106</v>
      </c>
      <c r="X49" s="45">
        <v>1.75</v>
      </c>
      <c r="Y49" s="44">
        <v>0</v>
      </c>
      <c r="Z49" s="62">
        <v>6</v>
      </c>
      <c r="AA49" s="46">
        <v>3230</v>
      </c>
      <c r="AB49" s="45">
        <v>9.4</v>
      </c>
      <c r="AC49" s="44">
        <v>0.11700000000000001</v>
      </c>
      <c r="AD49" s="44">
        <v>0.314</v>
      </c>
      <c r="AE49" s="44">
        <v>0.878</v>
      </c>
      <c r="AF49" s="45">
        <v>0</v>
      </c>
      <c r="AG49" s="44">
        <v>0.14399999999999999</v>
      </c>
      <c r="AH49" s="45">
        <v>0.25</v>
      </c>
      <c r="AI49" s="56">
        <v>46.6</v>
      </c>
      <c r="AJ49" s="45">
        <v>211.4</v>
      </c>
      <c r="AK49" s="44">
        <v>51</v>
      </c>
      <c r="AL49" s="45">
        <v>63</v>
      </c>
      <c r="AM49" s="45">
        <v>0</v>
      </c>
      <c r="AN49" s="44">
        <v>0.122</v>
      </c>
      <c r="AO49" s="45">
        <v>0.52300000000000002</v>
      </c>
      <c r="AP49" s="44">
        <v>0.59599999999999997</v>
      </c>
      <c r="AQ49" s="45">
        <v>1.2350000000000001</v>
      </c>
      <c r="AR49" s="45">
        <v>1.353</v>
      </c>
      <c r="AS49" s="45">
        <v>0.28399999999999997</v>
      </c>
      <c r="AT49" s="45">
        <v>0.1</v>
      </c>
      <c r="AU49" s="44">
        <v>0.56200000000000006</v>
      </c>
      <c r="AV49" s="45">
        <v>0.59599999999999997</v>
      </c>
      <c r="AW49" s="44">
        <v>0.7</v>
      </c>
      <c r="AX49" s="46">
        <v>0.63900000000000001</v>
      </c>
      <c r="AY49" s="46">
        <v>0.505</v>
      </c>
      <c r="AZ49" s="45">
        <v>1.07</v>
      </c>
      <c r="BA49" s="45">
        <v>2.4740000000000002</v>
      </c>
      <c r="BB49" s="44">
        <v>0.29799999999999999</v>
      </c>
      <c r="BC49" s="44">
        <v>1.0780000000000001</v>
      </c>
      <c r="BD49" s="45">
        <v>0.58199999999999996</v>
      </c>
      <c r="BE49" s="57">
        <v>83</v>
      </c>
      <c r="BF49" s="45">
        <v>5.3579999999999997</v>
      </c>
      <c r="BG49" s="44" t="str">
        <f t="shared" si="0"/>
        <v>new Food('2344213','Cheese ricotta','Ingred','1','cup','120',['7.51','15.48','100.12','0','211','0.41','1','1.33','48','127','258','406','1.01','0.06','0','11.6','106','1.75','0','6','3230','9.4','0.117','0.314','0.878','0','0.144','0.25','46.6','211.4','51','63','0','0.122','0.523','0.596','1.235','1.353','0.284','0.1','0.562','0.596','0.7','0.639','0.505','1.07','2.474','0.298','1.078','0.582','83','5.358']),</v>
      </c>
    </row>
    <row r="50" spans="1:71" s="44" customFormat="1" ht="15" customHeight="1">
      <c r="A50" s="98">
        <v>2709231</v>
      </c>
      <c r="B50" s="44" t="s">
        <v>283</v>
      </c>
      <c r="C50" s="60" t="s">
        <v>87</v>
      </c>
      <c r="D50" s="174">
        <v>1</v>
      </c>
      <c r="E50" s="60" t="s">
        <v>70</v>
      </c>
      <c r="F50" s="63"/>
      <c r="G50" s="141">
        <v>1.06</v>
      </c>
      <c r="H50" s="142">
        <v>0.2</v>
      </c>
      <c r="I50" s="141">
        <v>16.010000000000002</v>
      </c>
      <c r="J50" s="141">
        <v>0</v>
      </c>
      <c r="K50" s="142">
        <v>63</v>
      </c>
      <c r="L50" s="142">
        <v>12.82</v>
      </c>
      <c r="M50" s="141">
        <v>2.1</v>
      </c>
      <c r="N50" s="142">
        <v>0.36</v>
      </c>
      <c r="O50" s="142">
        <v>11</v>
      </c>
      <c r="P50" s="142">
        <v>21</v>
      </c>
      <c r="Q50" s="142">
        <v>222</v>
      </c>
      <c r="R50" s="142">
        <v>0</v>
      </c>
      <c r="S50" s="142">
        <v>7.0000000000000007E-2</v>
      </c>
      <c r="T50" s="142">
        <v>0.06</v>
      </c>
      <c r="U50" s="142">
        <v>0</v>
      </c>
      <c r="V50" s="142">
        <v>0</v>
      </c>
      <c r="W50" s="142">
        <v>0</v>
      </c>
      <c r="X50" s="142">
        <v>7.0000000000000007E-2</v>
      </c>
      <c r="Y50" s="142">
        <v>0</v>
      </c>
      <c r="Z50" s="142">
        <v>0</v>
      </c>
      <c r="AA50" s="142">
        <v>85</v>
      </c>
      <c r="AB50" s="142">
        <v>7</v>
      </c>
      <c r="AC50" s="142">
        <v>2.7E-2</v>
      </c>
      <c r="AD50" s="142">
        <v>3.3000000000000002E-2</v>
      </c>
      <c r="AE50" s="142">
        <v>0.154</v>
      </c>
      <c r="AF50" s="142">
        <v>0</v>
      </c>
      <c r="AG50" s="142">
        <v>4.9000000000000002E-2</v>
      </c>
      <c r="AH50" s="142">
        <v>0</v>
      </c>
      <c r="AI50" s="142">
        <v>6.1</v>
      </c>
      <c r="AJ50" s="142">
        <v>2.1</v>
      </c>
      <c r="AK50" s="142">
        <v>4</v>
      </c>
      <c r="AL50" s="141">
        <v>4</v>
      </c>
      <c r="AM50" s="142">
        <v>0</v>
      </c>
      <c r="AN50" s="141">
        <v>0</v>
      </c>
      <c r="AO50" s="142">
        <v>0</v>
      </c>
      <c r="AP50" s="142">
        <v>0</v>
      </c>
      <c r="AQ50" s="142">
        <v>0</v>
      </c>
      <c r="AR50" s="142">
        <v>0</v>
      </c>
      <c r="AS50" s="142">
        <v>0</v>
      </c>
      <c r="AT50" s="142">
        <v>0</v>
      </c>
      <c r="AU50" s="142">
        <v>0</v>
      </c>
      <c r="AV50" s="142">
        <v>0</v>
      </c>
      <c r="AW50" s="142">
        <v>0</v>
      </c>
      <c r="AX50" s="142">
        <v>0</v>
      </c>
      <c r="AY50" s="142">
        <v>0</v>
      </c>
      <c r="AZ50" s="142">
        <v>0</v>
      </c>
      <c r="BA50" s="142">
        <v>0</v>
      </c>
      <c r="BB50" s="142">
        <v>0</v>
      </c>
      <c r="BC50" s="142">
        <v>0</v>
      </c>
      <c r="BD50" s="142">
        <v>0</v>
      </c>
      <c r="BE50" s="142">
        <v>0</v>
      </c>
      <c r="BF50" s="142">
        <v>4.7E-2</v>
      </c>
      <c r="BG50" s="44" t="str">
        <f t="shared" si="0"/>
        <v>new Food('2709231','Cherries raw','Fruit','1','cup','',['1.06','0.2','16.01','0','63','12.82','2.1','0.36','11','21','222','0','0.07','0.06','0','0','0','0.07','0','0','85','7','0.027','0.033','0.154','0','0.049','0','6.1','2.1','4','4','0','0','0','0','0','0','0','0','0','0','0','0','0','0','0','0','0','0','0','0.047']),</v>
      </c>
    </row>
    <row r="51" spans="1:71" s="44" customFormat="1" ht="15" customHeight="1">
      <c r="A51" s="101">
        <v>2341376</v>
      </c>
      <c r="B51" s="45" t="s">
        <v>294</v>
      </c>
      <c r="C51" s="50" t="s">
        <v>207</v>
      </c>
      <c r="D51" s="177">
        <v>80</v>
      </c>
      <c r="E51" s="84" t="s">
        <v>411</v>
      </c>
      <c r="F51" s="144">
        <v>80</v>
      </c>
      <c r="G51" s="141">
        <v>24.33</v>
      </c>
      <c r="H51" s="142">
        <v>4.93</v>
      </c>
      <c r="I51" s="141">
        <v>7.34</v>
      </c>
      <c r="J51" s="142">
        <v>0</v>
      </c>
      <c r="K51" s="142">
        <v>178</v>
      </c>
      <c r="L51" s="142">
        <v>5.98</v>
      </c>
      <c r="M51" s="141">
        <v>0.02</v>
      </c>
      <c r="N51" s="142">
        <v>0.48</v>
      </c>
      <c r="O51" s="142">
        <v>25</v>
      </c>
      <c r="P51" s="142">
        <v>0.187</v>
      </c>
      <c r="Q51" s="142">
        <v>0.32900000000000001</v>
      </c>
      <c r="R51" s="142">
        <v>473</v>
      </c>
      <c r="S51" s="142">
        <v>0.76</v>
      </c>
      <c r="T51" s="142">
        <v>5.0999999999999997E-2</v>
      </c>
      <c r="U51" s="142">
        <v>0</v>
      </c>
      <c r="V51" s="142">
        <v>24.7</v>
      </c>
      <c r="W51" s="142">
        <v>7</v>
      </c>
      <c r="X51" s="142">
        <v>1.07</v>
      </c>
      <c r="Y51" s="142">
        <v>0</v>
      </c>
      <c r="Z51" s="141">
        <v>0</v>
      </c>
      <c r="AA51" s="142">
        <v>16</v>
      </c>
      <c r="AB51" s="141">
        <v>0.1</v>
      </c>
      <c r="AC51" s="142">
        <v>7.4999999999999997E-2</v>
      </c>
      <c r="AD51" s="142">
        <v>0.18099999999999999</v>
      </c>
      <c r="AE51" s="142">
        <v>8.36</v>
      </c>
      <c r="AF51" s="142">
        <v>0</v>
      </c>
      <c r="AG51" s="142">
        <v>0.71099999999999997</v>
      </c>
      <c r="AH51" s="141">
        <v>0.15</v>
      </c>
      <c r="AI51" s="142">
        <v>63</v>
      </c>
      <c r="AJ51" s="142">
        <v>2.5</v>
      </c>
      <c r="AK51" s="142">
        <v>6</v>
      </c>
      <c r="AL51" s="141">
        <v>6</v>
      </c>
      <c r="AM51" s="141">
        <v>0</v>
      </c>
      <c r="AN51" s="142">
        <v>0</v>
      </c>
      <c r="AO51" s="142">
        <v>0</v>
      </c>
      <c r="AP51" s="142">
        <v>0</v>
      </c>
      <c r="AQ51" s="142">
        <v>0</v>
      </c>
      <c r="AR51" s="142">
        <v>0</v>
      </c>
      <c r="AS51" s="142">
        <v>0</v>
      </c>
      <c r="AT51" s="141">
        <v>0</v>
      </c>
      <c r="AU51" s="142">
        <v>0</v>
      </c>
      <c r="AV51" s="142">
        <v>0</v>
      </c>
      <c r="AW51" s="141">
        <v>0</v>
      </c>
      <c r="AX51" s="142">
        <v>0</v>
      </c>
      <c r="AY51" s="142">
        <v>0</v>
      </c>
      <c r="AZ51" s="141">
        <v>0</v>
      </c>
      <c r="BA51" s="141">
        <v>0</v>
      </c>
      <c r="BB51" s="142">
        <v>0</v>
      </c>
      <c r="BC51" s="142">
        <v>0</v>
      </c>
      <c r="BD51" s="142">
        <v>0</v>
      </c>
      <c r="BE51" s="141">
        <v>78</v>
      </c>
      <c r="BF51" s="142">
        <v>1.5620000000000001</v>
      </c>
      <c r="BG51" s="44" t="str">
        <f t="shared" si="0"/>
        <v>new Food('2341376','Chicken breast baked','Entre','80','gm','80',['24.33','4.93','7.34','0','178','5.98','0.02','0.48','25','0.187','0.329','473','0.76','0.051','0','24.7','7','1.07','0','0','16','0.1','0.075','0.181','8.36','0','0.711','0.15','63','2.5','6','6','0','0','0','0','0','0','0','0','0','0','0','0','0','0','0','0','0','0','78','1.562']),</v>
      </c>
    </row>
    <row r="52" spans="1:71" s="44" customFormat="1" ht="15" customHeight="1">
      <c r="A52" s="101">
        <v>171477</v>
      </c>
      <c r="B52" s="45" t="s">
        <v>295</v>
      </c>
      <c r="C52" s="84" t="s">
        <v>207</v>
      </c>
      <c r="D52" s="177">
        <v>100</v>
      </c>
      <c r="E52" s="84" t="s">
        <v>411</v>
      </c>
      <c r="F52" s="117">
        <v>100</v>
      </c>
      <c r="G52" s="141">
        <v>31</v>
      </c>
      <c r="H52" s="142">
        <v>3.57</v>
      </c>
      <c r="I52" s="141">
        <v>0</v>
      </c>
      <c r="J52" s="141">
        <v>1.06</v>
      </c>
      <c r="K52" s="141">
        <v>165</v>
      </c>
      <c r="L52" s="141">
        <v>0</v>
      </c>
      <c r="M52" s="142">
        <v>0</v>
      </c>
      <c r="N52" s="142">
        <v>1.04</v>
      </c>
      <c r="O52" s="142">
        <v>29</v>
      </c>
      <c r="P52" s="142">
        <v>228</v>
      </c>
      <c r="Q52" s="141">
        <v>256</v>
      </c>
      <c r="R52" s="142">
        <v>74</v>
      </c>
      <c r="S52" s="142">
        <v>1</v>
      </c>
      <c r="T52" s="142">
        <v>4.9000000000000002E-2</v>
      </c>
      <c r="U52" s="142">
        <v>1.7000000000000001E-2</v>
      </c>
      <c r="V52" s="142">
        <v>27.6</v>
      </c>
      <c r="W52" s="141">
        <v>6</v>
      </c>
      <c r="X52" s="141">
        <v>0.27</v>
      </c>
      <c r="Y52" s="142">
        <v>5.0999999999999996</v>
      </c>
      <c r="Z52" s="142">
        <v>0</v>
      </c>
      <c r="AA52" s="142">
        <v>0</v>
      </c>
      <c r="AB52" s="117">
        <v>0</v>
      </c>
      <c r="AC52" s="142">
        <v>7.0000000000000007E-2</v>
      </c>
      <c r="AD52" s="142">
        <v>0.114</v>
      </c>
      <c r="AE52" s="142">
        <v>13.7</v>
      </c>
      <c r="AF52" s="142">
        <v>0.96499999999999997</v>
      </c>
      <c r="AG52" s="142">
        <v>0.6</v>
      </c>
      <c r="AH52" s="144">
        <v>0.34</v>
      </c>
      <c r="AI52" s="141">
        <v>85.3</v>
      </c>
      <c r="AJ52" s="142">
        <v>0.3</v>
      </c>
      <c r="AK52" s="142">
        <v>15</v>
      </c>
      <c r="AL52" s="142">
        <v>4</v>
      </c>
      <c r="AM52" s="141">
        <v>6.2</v>
      </c>
      <c r="AN52" s="142">
        <v>0.36199999999999999</v>
      </c>
      <c r="AO52" s="142">
        <v>1.31</v>
      </c>
      <c r="AP52" s="142">
        <v>1.64</v>
      </c>
      <c r="AQ52" s="142">
        <v>2.33</v>
      </c>
      <c r="AR52" s="142">
        <v>2.64</v>
      </c>
      <c r="AS52" s="142">
        <v>0.85899999999999999</v>
      </c>
      <c r="AT52" s="142">
        <v>0.39700000000000002</v>
      </c>
      <c r="AU52" s="141">
        <v>1.23</v>
      </c>
      <c r="AV52" s="142">
        <v>1.05</v>
      </c>
      <c r="AW52" s="141">
        <v>1.54</v>
      </c>
      <c r="AX52" s="142">
        <v>1.87</v>
      </c>
      <c r="AY52" s="144">
        <v>1.69</v>
      </c>
      <c r="AZ52" s="142">
        <v>2.76</v>
      </c>
      <c r="BA52" s="141">
        <v>4.6399999999999997</v>
      </c>
      <c r="BB52" s="142">
        <v>1.52</v>
      </c>
      <c r="BC52" s="142">
        <v>1.28</v>
      </c>
      <c r="BD52" s="142">
        <v>1.07</v>
      </c>
      <c r="BE52" s="142">
        <v>85</v>
      </c>
      <c r="BF52" s="142">
        <v>1.01</v>
      </c>
      <c r="BG52" s="44" t="str">
        <f t="shared" si="0"/>
        <v>new Food('171477','Chicken breast roasted','Entre','100','gm','100',['31','3.57','0','1.06','165','0','0','1.04','29','228','256','74','1','0.049','0.017','27.6','6','0.27','5.1','0','0','0','0.07','0.114','13.7','0.965','0.6','0.34','85.3','0.3','15','4','6.2','0.362','1.31','1.64','2.33','2.64','0.859','0.397','1.23','1.05','1.54','1.87','1.69','2.76','4.64','1.52','1.28','1.07','85','1.01']),</v>
      </c>
    </row>
    <row r="53" spans="1:71" s="44" customFormat="1" ht="15" customHeight="1">
      <c r="A53" s="101">
        <v>2705587</v>
      </c>
      <c r="B53" s="44" t="s">
        <v>385</v>
      </c>
      <c r="C53" s="84" t="s">
        <v>311</v>
      </c>
      <c r="D53" s="173">
        <v>1</v>
      </c>
      <c r="E53" s="58"/>
      <c r="F53" s="117" t="s">
        <v>357</v>
      </c>
      <c r="G53" s="117">
        <v>20</v>
      </c>
      <c r="H53" s="117">
        <v>10</v>
      </c>
      <c r="I53" s="117">
        <v>60</v>
      </c>
      <c r="J53" s="117">
        <v>0</v>
      </c>
      <c r="K53" s="117">
        <v>200</v>
      </c>
      <c r="L53" s="117">
        <v>0</v>
      </c>
      <c r="M53" s="117">
        <v>40</v>
      </c>
      <c r="N53" s="144">
        <v>40</v>
      </c>
      <c r="O53" s="117">
        <v>0</v>
      </c>
      <c r="P53" s="117">
        <v>0</v>
      </c>
      <c r="Q53" s="117">
        <v>1500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  <c r="Y53" s="117">
        <v>0</v>
      </c>
      <c r="Z53" s="117">
        <v>0</v>
      </c>
      <c r="AA53" s="117">
        <v>0</v>
      </c>
      <c r="AB53" s="117">
        <v>0</v>
      </c>
      <c r="AC53" s="117">
        <v>0</v>
      </c>
      <c r="AD53" s="117">
        <v>0</v>
      </c>
      <c r="AE53" s="117">
        <v>0</v>
      </c>
      <c r="AF53" s="117">
        <v>0</v>
      </c>
      <c r="AG53" s="117">
        <v>0</v>
      </c>
      <c r="AH53" s="144">
        <v>0</v>
      </c>
      <c r="AI53" s="144">
        <v>0</v>
      </c>
      <c r="AJ53" s="144">
        <v>0</v>
      </c>
      <c r="AK53" s="117">
        <v>0</v>
      </c>
      <c r="AL53" s="117">
        <v>0</v>
      </c>
      <c r="AM53" s="117">
        <v>0</v>
      </c>
      <c r="AN53" s="144">
        <v>0</v>
      </c>
      <c r="AO53" s="117">
        <v>0</v>
      </c>
      <c r="AP53" s="117">
        <v>0</v>
      </c>
      <c r="AQ53" s="117">
        <v>0</v>
      </c>
      <c r="AR53" s="117">
        <v>0</v>
      </c>
      <c r="AS53" s="117">
        <v>0</v>
      </c>
      <c r="AT53" s="117">
        <v>0</v>
      </c>
      <c r="AU53" s="117">
        <v>0</v>
      </c>
      <c r="AV53" s="117">
        <v>0</v>
      </c>
      <c r="AW53" s="117">
        <v>0</v>
      </c>
      <c r="AX53" s="117">
        <v>0</v>
      </c>
      <c r="AY53" s="117">
        <v>0</v>
      </c>
      <c r="AZ53" s="117">
        <v>0</v>
      </c>
      <c r="BA53" s="117">
        <v>0</v>
      </c>
      <c r="BB53" s="117">
        <v>0</v>
      </c>
      <c r="BC53" s="117">
        <v>0</v>
      </c>
      <c r="BD53" s="117">
        <v>0</v>
      </c>
      <c r="BE53" s="117">
        <v>0</v>
      </c>
      <c r="BF53" s="117">
        <v>0</v>
      </c>
      <c r="BG53" s="44" t="str">
        <f t="shared" si="0"/>
        <v>new Food('2705587','Cocoa powder','Ingred','1','','100g',['20','10','60','0','200','0','40','40','0','0','1500','0','0','0','0','0','0','0','0','0','0','0','0','0','0','0','0','0','0','0','0','0','0','0','0','0','0','0','0','0','0','0','0','0','0','0','0','0','0','0','0','0']),</v>
      </c>
      <c r="BH53" s="116"/>
      <c r="BI53" s="116"/>
      <c r="BJ53" s="116"/>
      <c r="BK53" s="116"/>
      <c r="BL53" s="116"/>
      <c r="BM53" s="116"/>
      <c r="BN53" s="116"/>
      <c r="BO53" s="116"/>
      <c r="BP53" s="116"/>
      <c r="BQ53" s="116"/>
    </row>
    <row r="54" spans="1:71" s="44" customFormat="1" ht="16.5" customHeight="1">
      <c r="A54" s="98">
        <v>173345</v>
      </c>
      <c r="B54" s="45" t="s">
        <v>297</v>
      </c>
      <c r="C54" s="50" t="s">
        <v>207</v>
      </c>
      <c r="D54" s="171">
        <v>1</v>
      </c>
      <c r="E54" s="50"/>
      <c r="F54" s="144">
        <v>78</v>
      </c>
      <c r="G54" s="117">
        <v>8.57</v>
      </c>
      <c r="H54" s="144">
        <v>12.02</v>
      </c>
      <c r="I54" s="117">
        <v>26.96</v>
      </c>
      <c r="J54" s="117">
        <v>2.13</v>
      </c>
      <c r="K54" s="144">
        <v>250</v>
      </c>
      <c r="L54" s="144">
        <v>7.54</v>
      </c>
      <c r="M54" s="144">
        <v>1</v>
      </c>
      <c r="N54" s="144">
        <v>1.9</v>
      </c>
      <c r="O54" s="144">
        <v>17</v>
      </c>
      <c r="P54" s="144">
        <v>244</v>
      </c>
      <c r="Q54" s="144">
        <v>125</v>
      </c>
      <c r="R54" s="144">
        <v>668</v>
      </c>
      <c r="S54" s="144">
        <v>0.85</v>
      </c>
      <c r="T54" s="144">
        <v>7.1999999999999995E-2</v>
      </c>
      <c r="U54" s="144">
        <v>1.71</v>
      </c>
      <c r="V54" s="144">
        <v>27.6</v>
      </c>
      <c r="W54" s="144">
        <v>47</v>
      </c>
      <c r="X54" s="144">
        <v>0.6</v>
      </c>
      <c r="Y54" s="144">
        <v>15</v>
      </c>
      <c r="Z54" s="144">
        <v>4</v>
      </c>
      <c r="AA54" s="117">
        <v>132</v>
      </c>
      <c r="AB54" s="117">
        <v>0.5</v>
      </c>
      <c r="AC54" s="117">
        <v>0.14099999999999999</v>
      </c>
      <c r="AD54" s="117">
        <v>0.155</v>
      </c>
      <c r="AE54" s="117">
        <v>2.786</v>
      </c>
      <c r="AF54" s="117">
        <v>0.40600000000000003</v>
      </c>
      <c r="AG54" s="117">
        <v>0.11700000000000001</v>
      </c>
      <c r="AH54" s="117">
        <v>0.48</v>
      </c>
      <c r="AI54" s="117">
        <v>26.9</v>
      </c>
      <c r="AJ54" s="117">
        <v>5.8</v>
      </c>
      <c r="AK54" s="144">
        <v>72</v>
      </c>
      <c r="AL54" s="144">
        <v>97</v>
      </c>
      <c r="AM54" s="117">
        <v>0</v>
      </c>
      <c r="AN54" s="144">
        <v>8.8999999999999996E-2</v>
      </c>
      <c r="AO54" s="144">
        <v>0.27400000000000002</v>
      </c>
      <c r="AP54" s="117">
        <v>0.32800000000000001</v>
      </c>
      <c r="AQ54" s="144">
        <v>0.63</v>
      </c>
      <c r="AR54" s="117">
        <v>0.45200000000000001</v>
      </c>
      <c r="AS54" s="117">
        <v>0.14799999999999999</v>
      </c>
      <c r="AT54" s="144">
        <v>0.11700000000000001</v>
      </c>
      <c r="AU54" s="117">
        <v>0.36599999999999999</v>
      </c>
      <c r="AV54" s="117">
        <v>0.22800000000000001</v>
      </c>
      <c r="AW54" s="144">
        <v>0.40799999999999997</v>
      </c>
      <c r="AX54" s="144">
        <v>0.39100000000000001</v>
      </c>
      <c r="AY54" s="117">
        <v>0.40300000000000002</v>
      </c>
      <c r="AZ54" s="117">
        <v>0.58899999999999997</v>
      </c>
      <c r="BA54" s="117">
        <v>1.8049999999999999</v>
      </c>
      <c r="BB54" s="117">
        <v>0.41499999999999998</v>
      </c>
      <c r="BC54" s="144">
        <v>0.59599999999999997</v>
      </c>
      <c r="BD54" s="117">
        <v>0.35499999999999998</v>
      </c>
      <c r="BE54" s="117">
        <v>44</v>
      </c>
      <c r="BF54" s="117">
        <v>4.7320000000000002</v>
      </c>
      <c r="BG54" s="44" t="str">
        <f t="shared" si="0"/>
        <v>new Food('173345','Corn dog','Entre','1','','78',['8.57','12.02','26.96','2.13','250','7.54','1','1.9','17','244','125','668','0.85','0.072','1.71','27.6','47','0.6','15','4','132','0.5','0.141','0.155','2.786','0.406','0.117','0.48','26.9','5.8','72','97','0','0.089','0.274','0.328','0.63','0.452','0.148','0.117','0.366','0.228','0.408','0.391','0.403','0.589','1.805','0.415','0.596','0.355','44','4.732']),</v>
      </c>
    </row>
    <row r="55" spans="1:71" ht="15.6">
      <c r="A55" s="98">
        <v>169215</v>
      </c>
      <c r="B55" s="44" t="s">
        <v>104</v>
      </c>
      <c r="C55" s="50" t="s">
        <v>88</v>
      </c>
      <c r="D55" s="171">
        <v>1</v>
      </c>
      <c r="E55" s="50" t="s">
        <v>412</v>
      </c>
      <c r="F55" s="117">
        <v>482</v>
      </c>
      <c r="G55" s="144">
        <v>1.74</v>
      </c>
      <c r="H55" s="144">
        <v>0.42</v>
      </c>
      <c r="I55" s="117">
        <v>18.13</v>
      </c>
      <c r="J55" s="117">
        <v>0.98</v>
      </c>
      <c r="K55" s="144">
        <v>72</v>
      </c>
      <c r="L55" s="144">
        <v>3.23</v>
      </c>
      <c r="M55" s="144">
        <v>1.2</v>
      </c>
      <c r="N55" s="117">
        <v>0.38</v>
      </c>
      <c r="O55" s="117">
        <v>17</v>
      </c>
      <c r="P55" s="117">
        <v>51</v>
      </c>
      <c r="Q55" s="117">
        <v>134</v>
      </c>
      <c r="R55" s="117">
        <v>261</v>
      </c>
      <c r="S55" s="144">
        <v>0.53</v>
      </c>
      <c r="T55" s="144">
        <v>5.1999999999999998E-2</v>
      </c>
      <c r="U55" s="144">
        <v>6.8000000000000005E-2</v>
      </c>
      <c r="V55" s="144">
        <v>0.04</v>
      </c>
      <c r="W55" s="117">
        <v>0</v>
      </c>
      <c r="X55" s="117">
        <v>7.0000000000000007E-2</v>
      </c>
      <c r="Y55" s="117">
        <v>0</v>
      </c>
      <c r="Z55" s="117">
        <v>6</v>
      </c>
      <c r="AA55" s="117">
        <v>949</v>
      </c>
      <c r="AB55" s="117">
        <v>4.5999999999999996</v>
      </c>
      <c r="AC55" s="117">
        <v>2.5000000000000001E-2</v>
      </c>
      <c r="AD55" s="117">
        <v>5.2999999999999999E-2</v>
      </c>
      <c r="AE55" s="117">
        <v>0.96</v>
      </c>
      <c r="AF55" s="144">
        <v>0.18</v>
      </c>
      <c r="AG55" s="144">
        <v>6.3E-2</v>
      </c>
      <c r="AH55" s="117">
        <v>0</v>
      </c>
      <c r="AI55" s="144">
        <v>20.3</v>
      </c>
      <c r="AJ55" s="117">
        <v>0</v>
      </c>
      <c r="AK55" s="144">
        <v>3</v>
      </c>
      <c r="AL55" s="144">
        <v>45</v>
      </c>
      <c r="AM55" s="144">
        <v>0</v>
      </c>
      <c r="AN55" s="144">
        <v>1.2E-2</v>
      </c>
      <c r="AO55" s="117">
        <v>7.0000000000000007E-2</v>
      </c>
      <c r="AP55" s="117">
        <v>7.0000000000000007E-2</v>
      </c>
      <c r="AQ55" s="117">
        <v>0.188</v>
      </c>
      <c r="AR55" s="117">
        <v>7.3999999999999996E-2</v>
      </c>
      <c r="AS55" s="117">
        <v>3.5999999999999997E-2</v>
      </c>
      <c r="AT55" s="144">
        <v>1.4E-2</v>
      </c>
      <c r="AU55" s="117">
        <v>8.1000000000000003E-2</v>
      </c>
      <c r="AV55" s="117">
        <v>6.6000000000000003E-2</v>
      </c>
      <c r="AW55" s="117">
        <v>0.1</v>
      </c>
      <c r="AX55" s="144">
        <v>7.0999999999999994E-2</v>
      </c>
      <c r="AY55" s="117">
        <v>0.159</v>
      </c>
      <c r="AZ55" s="117">
        <v>0.13200000000000001</v>
      </c>
      <c r="BA55" s="117">
        <v>0.34300000000000003</v>
      </c>
      <c r="BB55" s="144">
        <v>6.8000000000000005E-2</v>
      </c>
      <c r="BC55" s="144">
        <v>0.158</v>
      </c>
      <c r="BD55" s="144">
        <v>8.3000000000000004E-2</v>
      </c>
      <c r="BE55" s="117">
        <v>0</v>
      </c>
      <c r="BF55" s="117">
        <v>0.123</v>
      </c>
      <c r="BG55" s="44" t="str">
        <f t="shared" si="0"/>
        <v>new Food('169215','Corn sweet yellow canned cream style','Veg','1','can','482',['1.74','0.42','18.13','0.98','72','3.23','1.2','0.38','17','51','134','261','0.53','0.052','0.068','0.04','0','0.07','0','6','949','4.6','0.025','0.053','0.96','0.18','0.063','0','20.3','0','3','45','0','0.012','0.07','0.07','0.188','0.074','0.036','0.014','0.081','0.066','0.1','0.071','0.159','0.132','0.343','0.068','0.158','0.083','0','0.123']),</v>
      </c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</row>
    <row r="56" spans="1:71" s="44" customFormat="1" ht="18" customHeight="1">
      <c r="A56" s="98">
        <v>169214</v>
      </c>
      <c r="B56" s="45" t="s">
        <v>105</v>
      </c>
      <c r="C56" s="50" t="s">
        <v>344</v>
      </c>
      <c r="D56" s="171">
        <v>1</v>
      </c>
      <c r="E56" s="50" t="s">
        <v>70</v>
      </c>
      <c r="F56" s="98">
        <v>164</v>
      </c>
      <c r="G56" s="44">
        <v>2.29</v>
      </c>
      <c r="H56" s="45">
        <v>1.22</v>
      </c>
      <c r="I56" s="44">
        <v>14.34</v>
      </c>
      <c r="J56" s="44">
        <v>0.75</v>
      </c>
      <c r="K56" s="45">
        <v>280</v>
      </c>
      <c r="L56" s="45">
        <v>4.4400000000000004</v>
      </c>
      <c r="M56" s="45">
        <v>2</v>
      </c>
      <c r="N56" s="45">
        <v>0.27</v>
      </c>
      <c r="O56" s="45">
        <v>13</v>
      </c>
      <c r="P56" s="45">
        <v>46</v>
      </c>
      <c r="Q56" s="45">
        <v>132</v>
      </c>
      <c r="R56" s="45">
        <v>205</v>
      </c>
      <c r="S56" s="44">
        <v>0.32</v>
      </c>
      <c r="T56" s="44">
        <v>3.3000000000000002E-2</v>
      </c>
      <c r="U56" s="44">
        <v>6.7000000000000004E-2</v>
      </c>
      <c r="V56" s="45">
        <v>0.6</v>
      </c>
      <c r="W56" s="45">
        <v>0</v>
      </c>
      <c r="X56" s="45">
        <v>0.09</v>
      </c>
      <c r="Y56" s="45">
        <v>0</v>
      </c>
      <c r="Z56" s="62">
        <v>20</v>
      </c>
      <c r="AA56" s="46">
        <v>695</v>
      </c>
      <c r="AB56" s="45">
        <v>1.8</v>
      </c>
      <c r="AC56" s="45">
        <v>3.9E-2</v>
      </c>
      <c r="AD56" s="45">
        <v>8.8999999999999996E-2</v>
      </c>
      <c r="AE56" s="45">
        <v>1.0049999999999999</v>
      </c>
      <c r="AF56" s="45">
        <v>0.20899999999999999</v>
      </c>
      <c r="AG56" s="44">
        <v>3.6999999999999998E-2</v>
      </c>
      <c r="AH56" s="44">
        <v>0</v>
      </c>
      <c r="AI56" s="44">
        <v>17.8</v>
      </c>
      <c r="AJ56" s="45">
        <v>0</v>
      </c>
      <c r="AK56" s="45">
        <v>3</v>
      </c>
      <c r="AL56" s="45">
        <v>39</v>
      </c>
      <c r="AM56" s="45">
        <v>0</v>
      </c>
      <c r="AN56" s="45">
        <v>2.1000000000000001E-2</v>
      </c>
      <c r="AO56" s="45">
        <v>6.9000000000000006E-2</v>
      </c>
      <c r="AP56" s="45">
        <v>7.1999999999999995E-2</v>
      </c>
      <c r="AQ56" s="45">
        <v>0.28499999999999998</v>
      </c>
      <c r="AR56" s="45">
        <v>0.215</v>
      </c>
      <c r="AS56" s="45">
        <v>5.2999999999999999E-2</v>
      </c>
      <c r="AT56" s="44">
        <v>3.5000000000000003E-2</v>
      </c>
      <c r="AU56" s="44">
        <v>0.106</v>
      </c>
      <c r="AV56" s="45">
        <v>8.7999999999999995E-2</v>
      </c>
      <c r="AW56" s="45">
        <v>0.108</v>
      </c>
      <c r="AX56" s="45">
        <v>9.5000000000000001E-2</v>
      </c>
      <c r="AY56" s="44">
        <v>0.185</v>
      </c>
      <c r="AZ56" s="44">
        <v>0.161</v>
      </c>
      <c r="BA56" s="45">
        <v>0.45300000000000001</v>
      </c>
      <c r="BB56" s="44">
        <v>8.3000000000000004E-2</v>
      </c>
      <c r="BC56" s="44">
        <v>0.28699999999999998</v>
      </c>
      <c r="BD56" s="44">
        <v>0.127</v>
      </c>
      <c r="BE56" s="44">
        <v>0</v>
      </c>
      <c r="BF56" s="45">
        <v>0.374</v>
      </c>
      <c r="BG56" s="44" t="str">
        <f t="shared" si="0"/>
        <v>new Food('169214','Corn sweet yellow canned whole kernel','Side 2','1','cup','164',['2.29','1.22','14.34','0.75','280','4.44','2','0.27','13','46','132','205','0.32','0.033','0.067','0.6','0','0.09','0','20','695','1.8','0.039','0.089','1.005','0.209','0.037','0','17.8','0','3','39','0','0.021','0.069','0.072','0.285','0.215','0.053','0.035','0.106','0.088','0.108','0.095','0.185','0.161','0.453','0.083','0.287','0.127','0','0.374']),</v>
      </c>
    </row>
    <row r="57" spans="1:71" s="44" customFormat="1" ht="16.5" customHeight="1">
      <c r="A57" s="98">
        <v>168399</v>
      </c>
      <c r="B57" s="44" t="s">
        <v>106</v>
      </c>
      <c r="C57" s="50" t="s">
        <v>88</v>
      </c>
      <c r="D57" s="171">
        <v>1</v>
      </c>
      <c r="E57" s="50" t="s">
        <v>70</v>
      </c>
      <c r="F57" s="117">
        <v>165</v>
      </c>
      <c r="G57" s="144">
        <v>2.5499999999999998</v>
      </c>
      <c r="H57" s="144">
        <v>0.67</v>
      </c>
      <c r="I57" s="117">
        <v>19.3</v>
      </c>
      <c r="J57" s="117">
        <v>0.44</v>
      </c>
      <c r="K57" s="117">
        <v>338</v>
      </c>
      <c r="L57" s="117">
        <v>3.07</v>
      </c>
      <c r="M57" s="144">
        <v>2.4</v>
      </c>
      <c r="N57" s="117">
        <v>0.47</v>
      </c>
      <c r="O57" s="144">
        <v>28</v>
      </c>
      <c r="P57" s="144">
        <v>79</v>
      </c>
      <c r="Q57" s="117">
        <v>233</v>
      </c>
      <c r="R57" s="117">
        <v>1</v>
      </c>
      <c r="S57" s="117">
        <v>0.63</v>
      </c>
      <c r="T57" s="117">
        <v>4.8000000000000001E-2</v>
      </c>
      <c r="U57" s="117">
        <v>0.155</v>
      </c>
      <c r="V57" s="117">
        <v>0.7</v>
      </c>
      <c r="W57" s="117">
        <v>0</v>
      </c>
      <c r="X57" s="117">
        <v>7.0000000000000007E-2</v>
      </c>
      <c r="Y57" s="144">
        <v>0</v>
      </c>
      <c r="Z57" s="144">
        <v>122</v>
      </c>
      <c r="AA57" s="117">
        <v>684</v>
      </c>
      <c r="AB57" s="117">
        <v>3.5</v>
      </c>
      <c r="AC57" s="117">
        <v>0.03</v>
      </c>
      <c r="AD57" s="117">
        <v>6.2E-2</v>
      </c>
      <c r="AE57" s="117">
        <v>1.3109999999999999</v>
      </c>
      <c r="AF57" s="144">
        <v>0.151</v>
      </c>
      <c r="AG57" s="117">
        <v>9.9000000000000005E-2</v>
      </c>
      <c r="AH57" s="117">
        <v>0</v>
      </c>
      <c r="AI57" s="117">
        <v>22</v>
      </c>
      <c r="AJ57" s="117">
        <v>0.3</v>
      </c>
      <c r="AK57" s="117">
        <v>3</v>
      </c>
      <c r="AL57" s="117">
        <v>35</v>
      </c>
      <c r="AM57" s="117">
        <v>0.2</v>
      </c>
      <c r="AN57" s="144">
        <v>3.1E-2</v>
      </c>
      <c r="AO57" s="117">
        <v>0.115</v>
      </c>
      <c r="AP57" s="117">
        <v>0.13700000000000001</v>
      </c>
      <c r="AQ57" s="144">
        <v>0.251</v>
      </c>
      <c r="AR57" s="117">
        <v>0.153</v>
      </c>
      <c r="AS57" s="117">
        <v>6.8000000000000005E-2</v>
      </c>
      <c r="AT57" s="117">
        <v>3.7999999999999999E-2</v>
      </c>
      <c r="AU57" s="117">
        <v>0.13100000000000001</v>
      </c>
      <c r="AV57" s="117">
        <v>0.106</v>
      </c>
      <c r="AW57" s="117">
        <v>0.16700000000000001</v>
      </c>
      <c r="AX57" s="117">
        <v>0.126</v>
      </c>
      <c r="AY57" s="144">
        <v>0.17199999999999999</v>
      </c>
      <c r="AZ57" s="144">
        <v>0.219</v>
      </c>
      <c r="BA57" s="117">
        <v>0.438</v>
      </c>
      <c r="BB57" s="117">
        <v>8.5000000000000006E-2</v>
      </c>
      <c r="BC57" s="117">
        <v>0.18099999999999999</v>
      </c>
      <c r="BD57" s="117">
        <v>0.156</v>
      </c>
      <c r="BE57" s="117">
        <v>0</v>
      </c>
      <c r="BF57" s="117">
        <v>0.19700000000000001</v>
      </c>
      <c r="BG57" s="44" t="str">
        <f t="shared" si="0"/>
        <v>new Food('168399','Corn sweet yellow frozen ','Veg','1','cup','165',['2.55','0.67','19.3','0.44','338','3.07','2.4','0.47','28','79','233','1','0.63','0.048','0.155','0.7','0','0.07','0','122','684','3.5','0.03','0.062','1.311','0.151','0.099','0','22','0.3','3','35','0.2','0.031','0.115','0.137','0.251','0.153','0.068','0.038','0.131','0.106','0.167','0.126','0.172','0.219','0.438','0.085','0.181','0.156','0','0.197']),</v>
      </c>
    </row>
    <row r="58" spans="1:71" s="44" customFormat="1" ht="15" customHeight="1">
      <c r="A58" s="98">
        <v>171109</v>
      </c>
      <c r="B58" s="44" t="s">
        <v>296</v>
      </c>
      <c r="C58" s="50" t="s">
        <v>207</v>
      </c>
      <c r="D58" s="179">
        <v>1</v>
      </c>
      <c r="E58" s="89" t="s">
        <v>413</v>
      </c>
      <c r="F58" s="144"/>
      <c r="G58" s="141">
        <v>23.3</v>
      </c>
      <c r="H58" s="142">
        <v>3.87</v>
      </c>
      <c r="I58" s="141">
        <v>0</v>
      </c>
      <c r="J58" s="142">
        <v>0</v>
      </c>
      <c r="K58" s="142">
        <v>134</v>
      </c>
      <c r="L58" s="141">
        <v>0</v>
      </c>
      <c r="M58" s="142">
        <v>0</v>
      </c>
      <c r="N58" s="142">
        <v>0.77</v>
      </c>
      <c r="O58" s="142">
        <v>19</v>
      </c>
      <c r="P58" s="141">
        <v>149</v>
      </c>
      <c r="Q58" s="141">
        <v>250</v>
      </c>
      <c r="R58" s="141">
        <v>63</v>
      </c>
      <c r="S58" s="142">
        <v>1.53</v>
      </c>
      <c r="T58" s="141">
        <v>0.05</v>
      </c>
      <c r="U58" s="141">
        <v>0</v>
      </c>
      <c r="V58" s="142">
        <v>20.8</v>
      </c>
      <c r="W58" s="141">
        <v>20</v>
      </c>
      <c r="X58" s="141">
        <v>0.24</v>
      </c>
      <c r="Y58" s="142">
        <v>0</v>
      </c>
      <c r="Z58" s="141">
        <v>0</v>
      </c>
      <c r="AA58" s="141">
        <v>0</v>
      </c>
      <c r="AB58" s="142">
        <v>0.6</v>
      </c>
      <c r="AC58" s="141">
        <v>7.4999999999999997E-2</v>
      </c>
      <c r="AD58" s="141">
        <v>0.22700000000000001</v>
      </c>
      <c r="AE58" s="141">
        <v>6.2729999999999997</v>
      </c>
      <c r="AF58" s="141">
        <v>0</v>
      </c>
      <c r="AG58" s="141">
        <v>0.35799999999999998</v>
      </c>
      <c r="AH58" s="142">
        <v>0.3</v>
      </c>
      <c r="AI58" s="142">
        <v>66.3</v>
      </c>
      <c r="AJ58" s="142">
        <v>2.4</v>
      </c>
      <c r="AK58" s="142">
        <v>2</v>
      </c>
      <c r="AL58" s="142">
        <v>2</v>
      </c>
      <c r="AM58" s="142">
        <v>0</v>
      </c>
      <c r="AN58" s="142">
        <v>0</v>
      </c>
      <c r="AO58" s="142">
        <v>0</v>
      </c>
      <c r="AP58" s="142">
        <v>0</v>
      </c>
      <c r="AQ58" s="142">
        <v>0</v>
      </c>
      <c r="AR58" s="142">
        <v>0</v>
      </c>
      <c r="AS58" s="142">
        <v>0</v>
      </c>
      <c r="AT58" s="142">
        <v>0</v>
      </c>
      <c r="AU58" s="142">
        <v>0</v>
      </c>
      <c r="AV58" s="142">
        <v>0</v>
      </c>
      <c r="AW58" s="141">
        <v>0</v>
      </c>
      <c r="AX58" s="142">
        <v>0</v>
      </c>
      <c r="AY58" s="142">
        <v>0</v>
      </c>
      <c r="AZ58" s="142">
        <v>0</v>
      </c>
      <c r="BA58" s="142">
        <v>0</v>
      </c>
      <c r="BB58" s="142">
        <v>0</v>
      </c>
      <c r="BC58" s="142">
        <v>0</v>
      </c>
      <c r="BD58" s="142">
        <v>0</v>
      </c>
      <c r="BE58" s="142">
        <v>106</v>
      </c>
      <c r="BF58" s="141">
        <v>1.24</v>
      </c>
      <c r="BG58" s="44" t="str">
        <f t="shared" si="0"/>
        <v>new Food('171109','Cornish game hen','Entre','1','hen','',['23.3','3.87','0','0','134','0','0','0.77','19','149','250','63','1.53','0.05','0','20.8','20','0.24','0','0','0','0.6','0.075','0.227','6.273','0','0.358','0.3','66.3','2.4','2','2','0','0','0','0','0','0','0','0','0','0','0','0','0','0','0','0','0','0','106','1.24']),</v>
      </c>
    </row>
    <row r="59" spans="1:71" s="44" customFormat="1" ht="15" customHeight="1">
      <c r="A59" s="98">
        <v>169700</v>
      </c>
      <c r="B59" s="45" t="s">
        <v>209</v>
      </c>
      <c r="C59" s="50" t="s">
        <v>279</v>
      </c>
      <c r="D59" s="171">
        <v>1</v>
      </c>
      <c r="E59" s="50" t="s">
        <v>70</v>
      </c>
      <c r="F59" s="117"/>
      <c r="G59" s="142">
        <v>3.79</v>
      </c>
      <c r="H59" s="142">
        <v>0.16</v>
      </c>
      <c r="I59" s="142">
        <v>23.22</v>
      </c>
      <c r="J59" s="142">
        <v>0</v>
      </c>
      <c r="K59" s="142">
        <v>112</v>
      </c>
      <c r="L59" s="142">
        <v>0.1</v>
      </c>
      <c r="M59" s="142">
        <v>1.4</v>
      </c>
      <c r="N59" s="142">
        <v>0.38</v>
      </c>
      <c r="O59" s="142">
        <v>8</v>
      </c>
      <c r="P59" s="142">
        <v>22</v>
      </c>
      <c r="Q59" s="142">
        <v>58</v>
      </c>
      <c r="R59" s="142">
        <v>5</v>
      </c>
      <c r="S59" s="142">
        <v>0.26</v>
      </c>
      <c r="T59" s="142">
        <v>4.1000000000000002E-2</v>
      </c>
      <c r="U59" s="142">
        <v>0</v>
      </c>
      <c r="V59" s="142">
        <v>27.5</v>
      </c>
      <c r="W59" s="142">
        <v>0</v>
      </c>
      <c r="X59" s="142">
        <v>0.13</v>
      </c>
      <c r="Y59" s="142">
        <v>0</v>
      </c>
      <c r="Z59" s="142">
        <v>0</v>
      </c>
      <c r="AA59" s="142">
        <v>25</v>
      </c>
      <c r="AB59" s="142">
        <v>0</v>
      </c>
      <c r="AC59" s="142">
        <v>6.3E-2</v>
      </c>
      <c r="AD59" s="142">
        <v>2.7E-2</v>
      </c>
      <c r="AE59" s="142">
        <v>0.98299999999999998</v>
      </c>
      <c r="AF59" s="142">
        <v>0</v>
      </c>
      <c r="AG59" s="142">
        <v>5.0999999999999997E-2</v>
      </c>
      <c r="AH59" s="142">
        <v>0</v>
      </c>
      <c r="AI59" s="142">
        <v>3.3</v>
      </c>
      <c r="AJ59" s="142">
        <v>0.1</v>
      </c>
      <c r="AK59" s="142">
        <v>15</v>
      </c>
      <c r="AL59" s="142">
        <v>15</v>
      </c>
      <c r="AM59" s="142">
        <v>0</v>
      </c>
      <c r="AN59" s="142">
        <v>0</v>
      </c>
      <c r="AO59" s="142">
        <v>0</v>
      </c>
      <c r="AP59" s="142">
        <v>0</v>
      </c>
      <c r="AQ59" s="142">
        <v>0</v>
      </c>
      <c r="AR59" s="142">
        <v>0</v>
      </c>
      <c r="AS59" s="142">
        <v>0</v>
      </c>
      <c r="AT59" s="142">
        <v>0</v>
      </c>
      <c r="AU59" s="142">
        <v>0</v>
      </c>
      <c r="AV59" s="142">
        <v>0</v>
      </c>
      <c r="AW59" s="142">
        <v>0</v>
      </c>
      <c r="AX59" s="142">
        <v>0</v>
      </c>
      <c r="AY59" s="142">
        <v>0</v>
      </c>
      <c r="AZ59" s="142">
        <v>0</v>
      </c>
      <c r="BA59" s="142">
        <v>0</v>
      </c>
      <c r="BB59" s="141">
        <v>0</v>
      </c>
      <c r="BC59" s="141">
        <v>0</v>
      </c>
      <c r="BD59" s="141">
        <v>0</v>
      </c>
      <c r="BE59" s="142">
        <v>0</v>
      </c>
      <c r="BF59" s="142">
        <v>2.1999999999999999E-2</v>
      </c>
      <c r="BG59" s="44" t="str">
        <f t="shared" si="0"/>
        <v>new Food('169700','Couscous, cooked','Grain','1','cup','',['3.79','0.16','23.22','0','112','0.1','1.4','0.38','8','22','58','5','0.26','0.041','0','27.5','0','0.13','0','0','25','0','0.063','0.027','0.983','0','0.051','0','3.3','0.1','15','15','0','0','0','0','0','0','0','0','0','0','0','0','0','0','0','0','0','0','0','0.022']),</v>
      </c>
    </row>
    <row r="60" spans="1:71" s="44" customFormat="1" ht="15" customHeight="1">
      <c r="A60" s="101">
        <v>171722</v>
      </c>
      <c r="B60" s="45" t="s">
        <v>245</v>
      </c>
      <c r="C60" s="50" t="s">
        <v>87</v>
      </c>
      <c r="D60" s="177">
        <v>1</v>
      </c>
      <c r="E60" s="84" t="s">
        <v>70</v>
      </c>
      <c r="F60" s="101"/>
      <c r="G60" s="46">
        <v>0.46</v>
      </c>
      <c r="H60" s="62">
        <v>0.13</v>
      </c>
      <c r="I60" s="46">
        <v>11.97</v>
      </c>
      <c r="J60" s="46">
        <v>0</v>
      </c>
      <c r="K60" s="62">
        <v>46</v>
      </c>
      <c r="L60" s="46">
        <v>4.2699999999999996</v>
      </c>
      <c r="M60" s="46">
        <v>3.6</v>
      </c>
      <c r="N60" s="46">
        <v>0.23</v>
      </c>
      <c r="O60" s="46">
        <v>6</v>
      </c>
      <c r="P60" s="46">
        <v>11</v>
      </c>
      <c r="Q60" s="62">
        <v>80</v>
      </c>
      <c r="R60" s="46">
        <v>2</v>
      </c>
      <c r="S60" s="46">
        <v>0.09</v>
      </c>
      <c r="T60" s="62">
        <v>5.6000000000000001E-2</v>
      </c>
      <c r="U60" s="62">
        <v>0</v>
      </c>
      <c r="V60" s="46">
        <v>0.1</v>
      </c>
      <c r="W60" s="46">
        <v>0</v>
      </c>
      <c r="X60" s="62">
        <v>1.32</v>
      </c>
      <c r="Y60" s="62">
        <v>0</v>
      </c>
      <c r="Z60" s="46">
        <v>0</v>
      </c>
      <c r="AA60" s="46">
        <v>91</v>
      </c>
      <c r="AB60" s="62">
        <v>14</v>
      </c>
      <c r="AC60" s="46">
        <v>1.2E-2</v>
      </c>
      <c r="AD60" s="46">
        <v>0.02</v>
      </c>
      <c r="AE60" s="46">
        <v>0.10100000000000001</v>
      </c>
      <c r="AF60" s="46">
        <v>0</v>
      </c>
      <c r="AG60" s="46">
        <v>5.7000000000000002E-2</v>
      </c>
      <c r="AH60" s="46">
        <v>0</v>
      </c>
      <c r="AI60" s="46">
        <v>5.5</v>
      </c>
      <c r="AJ60" s="46">
        <v>5</v>
      </c>
      <c r="AK60" s="46">
        <v>1</v>
      </c>
      <c r="AL60" s="46">
        <v>1</v>
      </c>
      <c r="AM60" s="46">
        <v>0</v>
      </c>
      <c r="AN60" s="46">
        <v>0</v>
      </c>
      <c r="AO60" s="46">
        <v>0</v>
      </c>
      <c r="AP60" s="46">
        <v>0</v>
      </c>
      <c r="AQ60" s="46">
        <v>0</v>
      </c>
      <c r="AR60" s="46">
        <v>0</v>
      </c>
      <c r="AS60" s="46">
        <v>0</v>
      </c>
      <c r="AT60" s="46">
        <v>0</v>
      </c>
      <c r="AU60" s="46">
        <v>0</v>
      </c>
      <c r="AV60" s="46">
        <v>0</v>
      </c>
      <c r="AW60" s="46">
        <v>0</v>
      </c>
      <c r="AX60" s="46">
        <v>0</v>
      </c>
      <c r="AY60" s="46">
        <v>0</v>
      </c>
      <c r="AZ60" s="62">
        <v>0</v>
      </c>
      <c r="BA60" s="62">
        <v>0</v>
      </c>
      <c r="BB60" s="46">
        <v>0</v>
      </c>
      <c r="BC60" s="46">
        <v>0</v>
      </c>
      <c r="BD60" s="46">
        <v>0</v>
      </c>
      <c r="BE60" s="46">
        <v>0</v>
      </c>
      <c r="BF60" s="46">
        <v>1.7999999999999999E-2</v>
      </c>
      <c r="BG60" s="44" t="str">
        <f t="shared" si="0"/>
        <v>new Food('171722','Cranberries raw','Fruit','1','cup','',['0.46','0.13','11.97','0','46','4.27','3.6','0.23','6','11','80','2','0.09','0.056','0','0.1','0','1.32','0','0','91','14','0.012','0.02','0.101','0','0.057','0','5.5','5','1','1','0','0','0','0','0','0','0','0','0','0','0','0','0','0','0','0','0','0','0','0.018']),</v>
      </c>
    </row>
    <row r="61" spans="1:71" s="44" customFormat="1" ht="15" customHeight="1">
      <c r="A61" s="116">
        <v>2708008</v>
      </c>
      <c r="B61" s="116" t="s">
        <v>356</v>
      </c>
      <c r="C61" s="50"/>
      <c r="D61" s="173">
        <v>1</v>
      </c>
      <c r="E61" s="58" t="s">
        <v>70</v>
      </c>
      <c r="F61" s="98"/>
      <c r="G61" s="116">
        <v>1.84</v>
      </c>
      <c r="H61" s="161">
        <v>7.53</v>
      </c>
      <c r="I61" s="161">
        <v>32.380000000000003</v>
      </c>
      <c r="J61" s="161">
        <v>0</v>
      </c>
      <c r="K61" s="116">
        <v>204</v>
      </c>
      <c r="L61" s="116">
        <v>15.75</v>
      </c>
      <c r="M61" s="161">
        <v>1.7</v>
      </c>
      <c r="N61" s="116">
        <v>0.88</v>
      </c>
      <c r="O61" s="116">
        <v>13</v>
      </c>
      <c r="P61" s="116">
        <v>47</v>
      </c>
      <c r="Q61" s="116">
        <v>120</v>
      </c>
      <c r="R61" s="116">
        <v>13</v>
      </c>
      <c r="S61" s="116">
        <v>0.41</v>
      </c>
      <c r="T61" s="116">
        <v>0.11</v>
      </c>
      <c r="U61" s="116">
        <v>0</v>
      </c>
      <c r="V61" s="116">
        <v>1.5</v>
      </c>
      <c r="W61" s="116">
        <v>9</v>
      </c>
      <c r="X61" s="116">
        <v>0.89</v>
      </c>
      <c r="Y61" s="116">
        <v>0</v>
      </c>
      <c r="Z61" s="139">
        <v>17</v>
      </c>
      <c r="AA61" s="139">
        <v>49</v>
      </c>
      <c r="AB61" s="116">
        <v>23.9</v>
      </c>
      <c r="AC61" s="116">
        <v>0.06</v>
      </c>
      <c r="AD61" s="116">
        <v>0.08</v>
      </c>
      <c r="AE61" s="116">
        <v>1.08</v>
      </c>
      <c r="AF61" s="116">
        <v>0</v>
      </c>
      <c r="AG61" s="116">
        <v>0.04</v>
      </c>
      <c r="AH61" s="116">
        <v>0</v>
      </c>
      <c r="AI61" s="116">
        <v>9.6999999999999993</v>
      </c>
      <c r="AJ61" s="116">
        <v>13.3</v>
      </c>
      <c r="AK61" s="116">
        <v>13</v>
      </c>
      <c r="AL61" s="161">
        <v>33</v>
      </c>
      <c r="AM61" s="116">
        <v>0</v>
      </c>
      <c r="AN61" s="161">
        <v>0</v>
      </c>
      <c r="AO61" s="116">
        <v>0</v>
      </c>
      <c r="AP61" s="116">
        <v>0</v>
      </c>
      <c r="AQ61" s="116">
        <v>0</v>
      </c>
      <c r="AR61" s="116">
        <v>0</v>
      </c>
      <c r="AS61" s="116">
        <v>0</v>
      </c>
      <c r="AT61" s="116">
        <v>0</v>
      </c>
      <c r="AU61" s="116">
        <v>0</v>
      </c>
      <c r="AV61" s="116">
        <v>0</v>
      </c>
      <c r="AW61" s="116">
        <v>0</v>
      </c>
      <c r="AX61" s="116">
        <v>0</v>
      </c>
      <c r="AY61" s="116">
        <v>0</v>
      </c>
      <c r="AZ61" s="116">
        <v>0</v>
      </c>
      <c r="BA61" s="116">
        <v>0</v>
      </c>
      <c r="BB61" s="116">
        <v>0</v>
      </c>
      <c r="BC61" s="116">
        <v>0</v>
      </c>
      <c r="BD61" s="116">
        <v>0</v>
      </c>
      <c r="BE61" s="116">
        <v>3</v>
      </c>
      <c r="BF61" s="116">
        <v>4.5999999999999996</v>
      </c>
      <c r="BG61" s="44" t="str">
        <f t="shared" si="0"/>
        <v>new Food('2708008','Cream, whipped','','1','cup','',['1.84','7.53','32.38','0','204','15.75','1.7','0.88','13','47','120','13','0.41','0.11','0','1.5','9','0.89','0','17','49','23.9','0.06','0.08','1.08','0','0.04','0','9.7','13.3','13','33','0','0','0','0','0','0','0','0','0','0','0','0','0','0','0','0','0','0','3','4.6']),</v>
      </c>
      <c r="BH61" s="116"/>
      <c r="BI61" s="116"/>
      <c r="BJ61" s="116"/>
      <c r="BK61" s="116"/>
      <c r="BL61" s="116"/>
      <c r="BM61" s="116"/>
      <c r="BN61" s="116"/>
      <c r="BO61" s="116"/>
      <c r="BP61" s="116"/>
      <c r="BQ61" s="116"/>
      <c r="BR61" s="116"/>
      <c r="BS61" s="116"/>
    </row>
    <row r="62" spans="1:71" s="44" customFormat="1" ht="15.6">
      <c r="A62" s="98">
        <v>169226</v>
      </c>
      <c r="B62" s="44" t="s">
        <v>246</v>
      </c>
      <c r="C62" s="50" t="s">
        <v>311</v>
      </c>
      <c r="D62" s="171">
        <v>1</v>
      </c>
      <c r="E62" s="50"/>
      <c r="F62" s="109">
        <v>100</v>
      </c>
      <c r="G62" s="62">
        <v>2.7</v>
      </c>
      <c r="H62" s="46">
        <v>7.0000000000000007E-2</v>
      </c>
      <c r="I62" s="46">
        <v>9.1999999999999993</v>
      </c>
      <c r="J62" s="62">
        <v>0</v>
      </c>
      <c r="K62" s="46">
        <v>45</v>
      </c>
      <c r="L62" s="46">
        <v>0.71</v>
      </c>
      <c r="M62" s="46">
        <v>3.5</v>
      </c>
      <c r="N62" s="46">
        <v>3.1</v>
      </c>
      <c r="O62" s="46">
        <v>36</v>
      </c>
      <c r="P62" s="46">
        <v>66</v>
      </c>
      <c r="Q62" s="46">
        <v>397</v>
      </c>
      <c r="R62" s="46">
        <v>76</v>
      </c>
      <c r="S62" s="46">
        <v>0.41</v>
      </c>
      <c r="T62" s="46">
        <v>0.17100000000000001</v>
      </c>
      <c r="U62" s="46">
        <v>0</v>
      </c>
      <c r="V62" s="46">
        <v>0.5</v>
      </c>
      <c r="W62" s="46">
        <v>12.1</v>
      </c>
      <c r="X62" s="46">
        <v>3.44</v>
      </c>
      <c r="Y62" s="46">
        <v>0</v>
      </c>
      <c r="Z62" s="46">
        <v>121</v>
      </c>
      <c r="AA62" s="46">
        <v>13610</v>
      </c>
      <c r="AB62" s="46">
        <v>35</v>
      </c>
      <c r="AC62" s="46">
        <v>0.19</v>
      </c>
      <c r="AD62" s="46">
        <v>0.26</v>
      </c>
      <c r="AE62" s="46">
        <v>0.80600000000000005</v>
      </c>
      <c r="AF62" s="46">
        <v>0</v>
      </c>
      <c r="AG62" s="46">
        <v>0.251</v>
      </c>
      <c r="AH62" s="46">
        <v>0</v>
      </c>
      <c r="AI62" s="46">
        <v>35.299999999999997</v>
      </c>
      <c r="AJ62" s="46">
        <v>778.4</v>
      </c>
      <c r="AK62" s="46">
        <v>27</v>
      </c>
      <c r="AL62" s="46">
        <v>27</v>
      </c>
      <c r="AM62" s="46">
        <v>0</v>
      </c>
      <c r="AN62" s="46">
        <v>0</v>
      </c>
      <c r="AO62" s="46">
        <v>0</v>
      </c>
      <c r="AP62" s="46">
        <v>0</v>
      </c>
      <c r="AQ62" s="46">
        <v>0</v>
      </c>
      <c r="AR62" s="46">
        <v>0</v>
      </c>
      <c r="AS62" s="46">
        <v>0</v>
      </c>
      <c r="AT62" s="46">
        <v>0</v>
      </c>
      <c r="AU62" s="46">
        <v>0</v>
      </c>
      <c r="AV62" s="46">
        <v>0</v>
      </c>
      <c r="AW62" s="46">
        <v>0</v>
      </c>
      <c r="AX62" s="46">
        <v>0</v>
      </c>
      <c r="AY62" s="46">
        <v>0</v>
      </c>
      <c r="AZ62" s="46">
        <v>0</v>
      </c>
      <c r="BA62" s="46">
        <v>0</v>
      </c>
      <c r="BB62" s="46">
        <v>0</v>
      </c>
      <c r="BC62" s="46">
        <v>0</v>
      </c>
      <c r="BD62" s="46">
        <v>0</v>
      </c>
      <c r="BE62" s="46">
        <v>0</v>
      </c>
      <c r="BF62" s="46">
        <v>1.4E-2</v>
      </c>
      <c r="BG62" s="44" t="str">
        <f t="shared" si="0"/>
        <v>new Food('169226','Dandelion greens raw','Ingred','1','','100',['2.7','0.07','9.2','0','45','0.71','3.5','3.1','36','66','397','76','0.41','0.171','0','0.5','12.1','3.44','0','121','13610','35','0.19','0.26','0.806','0','0.251','0','35.3','778.4','27','27','0','0','0','0','0','0','0','0','0','0','0','0','0','0','0','0','0','0','0','0.014']),</v>
      </c>
    </row>
    <row r="63" spans="1:71" s="116" customFormat="1" ht="15.75" customHeight="1">
      <c r="A63" s="98">
        <v>2707436</v>
      </c>
      <c r="B63" s="44" t="s">
        <v>252</v>
      </c>
      <c r="C63" s="60" t="s">
        <v>311</v>
      </c>
      <c r="D63" s="173">
        <v>1</v>
      </c>
      <c r="E63" s="58" t="s">
        <v>70</v>
      </c>
      <c r="F63" s="110">
        <v>100</v>
      </c>
      <c r="G63" s="62">
        <v>11.91</v>
      </c>
      <c r="H63" s="46">
        <v>5.2</v>
      </c>
      <c r="I63" s="46">
        <v>8.91</v>
      </c>
      <c r="J63" s="62">
        <v>0</v>
      </c>
      <c r="K63" s="46">
        <v>121</v>
      </c>
      <c r="L63" s="46">
        <v>2.1800000000000002</v>
      </c>
      <c r="M63" s="46">
        <v>5.2</v>
      </c>
      <c r="N63" s="46">
        <v>2.27</v>
      </c>
      <c r="O63" s="46">
        <v>64</v>
      </c>
      <c r="P63" s="46">
        <v>169</v>
      </c>
      <c r="Q63" s="46">
        <v>436</v>
      </c>
      <c r="R63" s="46">
        <v>6</v>
      </c>
      <c r="S63" s="46">
        <v>1.37</v>
      </c>
      <c r="T63" s="46">
        <v>0.34499999999999997</v>
      </c>
      <c r="U63" s="46">
        <v>0</v>
      </c>
      <c r="V63" s="46">
        <v>0.8</v>
      </c>
      <c r="W63" s="46">
        <v>0</v>
      </c>
      <c r="X63" s="62">
        <v>0.68</v>
      </c>
      <c r="Y63" s="62">
        <v>0</v>
      </c>
      <c r="Z63" s="46">
        <v>8</v>
      </c>
      <c r="AA63" s="46">
        <v>1619</v>
      </c>
      <c r="AB63" s="46">
        <v>6.1</v>
      </c>
      <c r="AC63" s="46">
        <v>0.2</v>
      </c>
      <c r="AD63" s="46">
        <v>0.155</v>
      </c>
      <c r="AE63" s="46">
        <v>0.91500000000000004</v>
      </c>
      <c r="AF63" s="46">
        <v>0</v>
      </c>
      <c r="AG63" s="46">
        <v>0.1</v>
      </c>
      <c r="AH63" s="46">
        <v>0</v>
      </c>
      <c r="AI63" s="46">
        <v>56.3</v>
      </c>
      <c r="AJ63" s="46">
        <v>26.7</v>
      </c>
      <c r="AK63" s="46">
        <v>311</v>
      </c>
      <c r="AL63" s="46">
        <v>311</v>
      </c>
      <c r="AM63" s="46">
        <v>0</v>
      </c>
      <c r="AN63" s="46">
        <v>0</v>
      </c>
      <c r="AO63" s="46">
        <v>0</v>
      </c>
      <c r="AP63" s="46">
        <v>0</v>
      </c>
      <c r="AQ63" s="46">
        <v>0</v>
      </c>
      <c r="AR63" s="46">
        <v>0</v>
      </c>
      <c r="AS63" s="46">
        <v>0</v>
      </c>
      <c r="AT63" s="46">
        <v>0</v>
      </c>
      <c r="AU63" s="46">
        <v>0</v>
      </c>
      <c r="AV63" s="46">
        <v>0</v>
      </c>
      <c r="AW63" s="46">
        <v>0</v>
      </c>
      <c r="AX63" s="46">
        <v>0</v>
      </c>
      <c r="AY63" s="46">
        <v>0</v>
      </c>
      <c r="AZ63" s="46">
        <v>0</v>
      </c>
      <c r="BA63" s="46">
        <v>0</v>
      </c>
      <c r="BB63" s="46">
        <v>0</v>
      </c>
      <c r="BC63" s="46">
        <v>0</v>
      </c>
      <c r="BD63" s="46">
        <v>0</v>
      </c>
      <c r="BE63" s="46">
        <v>0</v>
      </c>
      <c r="BF63" s="46">
        <v>1.282</v>
      </c>
      <c r="BG63" s="44" t="str">
        <f t="shared" si="0"/>
        <v>new Food('2707436','Edamame frozen prepared','Ingred','1','cup','100',['11.91','5.2','8.91','0','121','2.18','5.2','2.27','64','169','436','6','1.37','0.345','0','0.8','0','0.68','0','8','1619','6.1','0.2','0.155','0.915','0','0.1','0','56.3','26.7','311','311','0','0','0','0','0','0','0','0','0','0','0','0','0','0','0','0','0','0','0','1.282']),</v>
      </c>
      <c r="BH63" s="44"/>
      <c r="BI63" s="44"/>
      <c r="BJ63" s="44"/>
      <c r="BK63" s="44"/>
      <c r="BL63" s="44"/>
      <c r="BM63" s="44"/>
      <c r="BN63" s="44"/>
      <c r="BO63" s="44"/>
      <c r="BP63" s="44"/>
      <c r="BQ63" s="44"/>
      <c r="BR63" s="44"/>
      <c r="BS63" s="44"/>
    </row>
    <row r="64" spans="1:71" s="116" customFormat="1" ht="15.6">
      <c r="A64" s="98">
        <v>2707287</v>
      </c>
      <c r="B64" s="61" t="s">
        <v>382</v>
      </c>
      <c r="C64" s="50" t="s">
        <v>311</v>
      </c>
      <c r="D64" s="174">
        <v>1</v>
      </c>
      <c r="E64" s="60" t="s">
        <v>416</v>
      </c>
      <c r="F64" s="99">
        <v>100</v>
      </c>
      <c r="G64" s="56">
        <v>10.56</v>
      </c>
      <c r="H64" s="63">
        <v>0.78</v>
      </c>
      <c r="I64" s="56">
        <v>2.5299999999999998</v>
      </c>
      <c r="J64" s="63">
        <v>0</v>
      </c>
      <c r="K64" s="63">
        <v>59</v>
      </c>
      <c r="L64" s="63">
        <v>0.7</v>
      </c>
      <c r="M64" s="56">
        <v>0</v>
      </c>
      <c r="N64" s="56">
        <v>0.08</v>
      </c>
      <c r="O64" s="56">
        <v>11</v>
      </c>
      <c r="P64" s="56">
        <v>15</v>
      </c>
      <c r="Q64" s="56">
        <v>161</v>
      </c>
      <c r="R64" s="56">
        <v>279</v>
      </c>
      <c r="S64" s="63">
        <v>0.03</v>
      </c>
      <c r="T64" s="63">
        <v>2.3E-2</v>
      </c>
      <c r="U64" s="63">
        <v>0</v>
      </c>
      <c r="V64" s="63">
        <v>17.7</v>
      </c>
      <c r="W64" s="63">
        <v>0</v>
      </c>
      <c r="X64" s="63">
        <v>0</v>
      </c>
      <c r="Y64" s="63">
        <v>0</v>
      </c>
      <c r="Z64" s="63">
        <v>0</v>
      </c>
      <c r="AA64" s="63">
        <v>0</v>
      </c>
      <c r="AB64" s="63">
        <v>0</v>
      </c>
      <c r="AC64" s="63">
        <v>3.0000000000000001E-3</v>
      </c>
      <c r="AD64" s="63">
        <v>0.36699999999999999</v>
      </c>
      <c r="AE64" s="56">
        <v>9.8000000000000004E-2</v>
      </c>
      <c r="AF64" s="63">
        <v>0</v>
      </c>
      <c r="AG64" s="63">
        <v>5.0000000000000001E-3</v>
      </c>
      <c r="AH64" s="56">
        <v>0.08</v>
      </c>
      <c r="AI64" s="56">
        <v>0.9</v>
      </c>
      <c r="AJ64" s="56">
        <v>0</v>
      </c>
      <c r="AK64" s="63">
        <v>3</v>
      </c>
      <c r="AL64" s="56">
        <v>3</v>
      </c>
      <c r="AM64" s="56">
        <v>0</v>
      </c>
      <c r="AN64" s="56">
        <v>0</v>
      </c>
      <c r="AO64" s="63">
        <v>0</v>
      </c>
      <c r="AP64" s="63">
        <v>0</v>
      </c>
      <c r="AQ64" s="63">
        <v>0</v>
      </c>
      <c r="AR64" s="63">
        <v>0</v>
      </c>
      <c r="AS64" s="63">
        <v>0</v>
      </c>
      <c r="AT64" s="63">
        <v>0</v>
      </c>
      <c r="AU64" s="63">
        <v>0</v>
      </c>
      <c r="AV64" s="63">
        <v>0</v>
      </c>
      <c r="AW64" s="63">
        <v>0</v>
      </c>
      <c r="AX64" s="63">
        <v>0</v>
      </c>
      <c r="AY64" s="61">
        <v>0</v>
      </c>
      <c r="AZ64" s="63">
        <v>0</v>
      </c>
      <c r="BA64" s="56">
        <v>0</v>
      </c>
      <c r="BB64" s="56">
        <v>0</v>
      </c>
      <c r="BC64" s="56">
        <v>0</v>
      </c>
      <c r="BD64" s="56">
        <v>0</v>
      </c>
      <c r="BE64" s="56">
        <v>0</v>
      </c>
      <c r="BF64" s="63">
        <v>0.49199999999999999</v>
      </c>
      <c r="BG64" s="44" t="str">
        <f t="shared" si="0"/>
        <v>new Food('2707287','Egg raw','Ingred','1','egg','100',['10.56','0.78','2.53','0','59','0.7','0','0.08','11','15','161','279','0.03','0.023','0','17.7','0','0','0','0','0','0','0.003','0.367','0.098','0','0.005','0.08','0.9','0','3','3','0','0','0','0','0','0','0','0','0','0','0','0','0','0','0','0','0','0','0','0.492']),</v>
      </c>
      <c r="BH64" s="44"/>
      <c r="BI64" s="44"/>
      <c r="BJ64" s="44"/>
      <c r="BK64" s="44"/>
      <c r="BL64" s="44"/>
      <c r="BM64" s="44"/>
      <c r="BN64" s="44"/>
      <c r="BO64" s="44"/>
      <c r="BP64" s="44"/>
      <c r="BQ64" s="44"/>
      <c r="BR64" s="44"/>
      <c r="BS64" s="44"/>
    </row>
    <row r="65" spans="1:71" s="116" customFormat="1" ht="15.6">
      <c r="A65" s="99">
        <v>173424</v>
      </c>
      <c r="B65" s="61" t="s">
        <v>84</v>
      </c>
      <c r="C65" s="50" t="s">
        <v>207</v>
      </c>
      <c r="D65" s="174">
        <v>1</v>
      </c>
      <c r="E65" s="60" t="s">
        <v>414</v>
      </c>
      <c r="F65" s="63">
        <v>50</v>
      </c>
      <c r="G65" s="63">
        <v>12.58</v>
      </c>
      <c r="H65" s="56">
        <v>10.61</v>
      </c>
      <c r="I65" s="56">
        <v>1.1200000000000001</v>
      </c>
      <c r="J65" s="56">
        <v>1.08</v>
      </c>
      <c r="K65" s="56">
        <v>155</v>
      </c>
      <c r="L65" s="56">
        <v>1.1200000000000001</v>
      </c>
      <c r="M65" s="56">
        <v>0</v>
      </c>
      <c r="N65" s="63">
        <v>1.19</v>
      </c>
      <c r="O65" s="63">
        <v>10</v>
      </c>
      <c r="P65" s="63">
        <v>172</v>
      </c>
      <c r="Q65" s="63">
        <v>126</v>
      </c>
      <c r="R65" s="63">
        <v>124</v>
      </c>
      <c r="S65" s="56">
        <v>1.05</v>
      </c>
      <c r="T65" s="63">
        <v>1.2999999999999999E-2</v>
      </c>
      <c r="U65" s="63">
        <v>2.5999999999999999E-2</v>
      </c>
      <c r="V65" s="63">
        <v>30.8</v>
      </c>
      <c r="W65" s="63">
        <v>148</v>
      </c>
      <c r="X65" s="63">
        <v>1.03</v>
      </c>
      <c r="Y65" s="63">
        <v>87</v>
      </c>
      <c r="Z65" s="63">
        <v>10</v>
      </c>
      <c r="AA65" s="63">
        <v>353</v>
      </c>
      <c r="AB65" s="63">
        <v>0</v>
      </c>
      <c r="AC65" s="63">
        <v>6.6000000000000003E-2</v>
      </c>
      <c r="AD65" s="63">
        <v>0.51300000000000001</v>
      </c>
      <c r="AE65" s="63">
        <v>6.4000000000000001E-2</v>
      </c>
      <c r="AF65" s="63">
        <v>1.3979999999999999</v>
      </c>
      <c r="AG65" s="63">
        <v>0.121</v>
      </c>
      <c r="AH65" s="63">
        <v>1.1299999999999999</v>
      </c>
      <c r="AI65" s="63">
        <v>293.8</v>
      </c>
      <c r="AJ65" s="56">
        <v>0.3</v>
      </c>
      <c r="AK65" s="63">
        <v>50</v>
      </c>
      <c r="AL65" s="56">
        <v>44</v>
      </c>
      <c r="AM65" s="63">
        <v>0.06</v>
      </c>
      <c r="AN65" s="56">
        <v>0.153</v>
      </c>
      <c r="AO65" s="63">
        <v>0</v>
      </c>
      <c r="AP65" s="63">
        <v>0.68600000000000005</v>
      </c>
      <c r="AQ65" s="63">
        <v>1.075</v>
      </c>
      <c r="AR65" s="63">
        <v>0.90400000000000003</v>
      </c>
      <c r="AS65" s="63">
        <v>0.39200000000000002</v>
      </c>
      <c r="AT65" s="63">
        <v>0.29199999999999998</v>
      </c>
      <c r="AU65" s="63">
        <v>0.66800000000000004</v>
      </c>
      <c r="AV65" s="63">
        <v>0.51300000000000001</v>
      </c>
      <c r="AW65" s="63">
        <v>0.76700000000000002</v>
      </c>
      <c r="AX65" s="56">
        <v>0.755</v>
      </c>
      <c r="AY65" s="63">
        <v>7.0000000000000007E-2</v>
      </c>
      <c r="AZ65" s="63">
        <v>1.264</v>
      </c>
      <c r="BA65" s="63">
        <v>1.044</v>
      </c>
      <c r="BB65" s="56">
        <v>0.42299999999999999</v>
      </c>
      <c r="BC65" s="56">
        <v>0.501</v>
      </c>
      <c r="BD65" s="56">
        <v>0.93600000000000005</v>
      </c>
      <c r="BE65" s="63">
        <v>373</v>
      </c>
      <c r="BF65" s="63">
        <v>4.077</v>
      </c>
      <c r="BG65" s="44" t="str">
        <f t="shared" si="0"/>
        <v>new Food('173424','Egg whole cooked hard-boiled','Entre','1','lg','50',['12.58','10.61','1.12','1.08','155','1.12','0','1.19','10','172','126','124','1.05','0.013','0.026','30.8','148','1.03','87','10','353','0','0.066','0.513','0.064','1.398','0.121','1.13','293.8','0.3','50','44','0.06','0.153','0','0.686','1.075','0.904','0.392','0.292','0.668','0.513','0.767','0.755','0.07','1.264','1.044','0.423','0.501','0.936','373','4.077']),</v>
      </c>
      <c r="BH65" s="44"/>
      <c r="BI65" s="44"/>
      <c r="BJ65" s="44"/>
      <c r="BK65" s="44"/>
      <c r="BL65" s="44"/>
      <c r="BM65" s="44"/>
      <c r="BN65" s="44"/>
      <c r="BO65" s="44"/>
      <c r="BP65" s="44"/>
      <c r="BQ65" s="44"/>
      <c r="BR65" s="44"/>
      <c r="BS65" s="44"/>
    </row>
    <row r="66" spans="1:71" s="44" customFormat="1" ht="15.75" customHeight="1">
      <c r="A66" s="98">
        <v>2341101</v>
      </c>
      <c r="B66" s="61" t="s">
        <v>85</v>
      </c>
      <c r="C66" s="50" t="s">
        <v>207</v>
      </c>
      <c r="D66" s="174">
        <v>1</v>
      </c>
      <c r="E66" s="60" t="s">
        <v>415</v>
      </c>
      <c r="F66" s="99">
        <v>0</v>
      </c>
      <c r="G66" s="44">
        <v>3.2</v>
      </c>
      <c r="H66" s="45">
        <v>0</v>
      </c>
      <c r="I66" s="44">
        <v>0</v>
      </c>
      <c r="J66" s="61">
        <v>0</v>
      </c>
      <c r="K66" s="44">
        <v>0</v>
      </c>
      <c r="L66" s="44">
        <v>0</v>
      </c>
      <c r="M66" s="45">
        <v>0</v>
      </c>
      <c r="N66" s="45">
        <v>1</v>
      </c>
      <c r="O66" s="45">
        <v>2</v>
      </c>
      <c r="P66" s="44">
        <v>118</v>
      </c>
      <c r="Q66" s="44">
        <v>28</v>
      </c>
      <c r="R66" s="44">
        <v>10</v>
      </c>
      <c r="S66" s="44">
        <v>0.76</v>
      </c>
      <c r="T66" s="44">
        <v>7.0000000000000007E-2</v>
      </c>
      <c r="U66" s="44">
        <v>0</v>
      </c>
      <c r="V66" s="44">
        <v>0</v>
      </c>
      <c r="W66" s="44">
        <v>0</v>
      </c>
      <c r="X66" s="44">
        <v>0</v>
      </c>
      <c r="Y66" s="44">
        <v>1</v>
      </c>
      <c r="Z66" s="62">
        <v>0</v>
      </c>
      <c r="AA66" s="62">
        <v>0</v>
      </c>
      <c r="AB66" s="44">
        <v>0</v>
      </c>
      <c r="AC66" s="44">
        <v>0.06</v>
      </c>
      <c r="AD66" s="44">
        <v>0</v>
      </c>
      <c r="AE66" s="44">
        <v>0</v>
      </c>
      <c r="AF66" s="45">
        <v>0</v>
      </c>
      <c r="AG66" s="45">
        <v>0.6</v>
      </c>
      <c r="AH66" s="45">
        <v>0.08</v>
      </c>
      <c r="AI66" s="45">
        <v>0</v>
      </c>
      <c r="AJ66" s="45">
        <v>0</v>
      </c>
      <c r="AK66" s="44">
        <v>28</v>
      </c>
      <c r="AL66" s="45">
        <v>0</v>
      </c>
      <c r="AM66" s="57">
        <v>0</v>
      </c>
      <c r="AN66" s="45">
        <v>0</v>
      </c>
      <c r="AO66" s="44">
        <v>0</v>
      </c>
      <c r="AP66" s="44">
        <v>0</v>
      </c>
      <c r="AQ66" s="44">
        <v>0</v>
      </c>
      <c r="AR66" s="44">
        <v>0</v>
      </c>
      <c r="AS66" s="44">
        <v>0</v>
      </c>
      <c r="AT66" s="45">
        <v>0</v>
      </c>
      <c r="AU66" s="44">
        <v>0</v>
      </c>
      <c r="AV66" s="44">
        <v>0</v>
      </c>
      <c r="AW66" s="44">
        <v>0</v>
      </c>
      <c r="AX66" s="63">
        <v>0</v>
      </c>
      <c r="AY66" s="61">
        <v>0</v>
      </c>
      <c r="AZ66" s="61">
        <v>0</v>
      </c>
      <c r="BA66" s="45">
        <v>0</v>
      </c>
      <c r="BB66" s="45">
        <v>0</v>
      </c>
      <c r="BC66" s="44">
        <v>0</v>
      </c>
      <c r="BD66" s="44">
        <v>0</v>
      </c>
      <c r="BE66" s="45">
        <v>276</v>
      </c>
      <c r="BF66" s="45">
        <v>0</v>
      </c>
      <c r="BG66" s="44" t="str">
        <f t="shared" si="0"/>
        <v>new Food('2341101','Egg yolk','Entre','1','yolk','0',['3.2','0','0','0','0','0','0','1','2','118','28','10','0.76','0.07','0','0','0','0','1','0','0','0','0.06','0','0','0','0.6','0.08','0','0','28','0','0','0','0','0','0','0','0','0','0','0','0','0','0','0','0','0','0','0','276','0']),</v>
      </c>
    </row>
    <row r="67" spans="1:71" s="44" customFormat="1" ht="15.75" customHeight="1">
      <c r="A67" s="98">
        <v>1166199</v>
      </c>
      <c r="B67" s="44" t="s">
        <v>367</v>
      </c>
      <c r="C67" s="50" t="s">
        <v>285</v>
      </c>
      <c r="D67" s="171">
        <v>2</v>
      </c>
      <c r="E67" s="50" t="s">
        <v>417</v>
      </c>
      <c r="F67" s="117">
        <v>29</v>
      </c>
      <c r="G67" s="117">
        <v>3.45</v>
      </c>
      <c r="H67" s="144">
        <v>6.9</v>
      </c>
      <c r="I67" s="117">
        <v>72.41</v>
      </c>
      <c r="J67" s="144">
        <v>0</v>
      </c>
      <c r="K67" s="117">
        <v>345</v>
      </c>
      <c r="L67" s="117">
        <v>0</v>
      </c>
      <c r="M67" s="117">
        <v>3.4</v>
      </c>
      <c r="N67" s="117">
        <v>2.38</v>
      </c>
      <c r="O67" s="117">
        <v>0</v>
      </c>
      <c r="P67" s="117">
        <v>0</v>
      </c>
      <c r="Q67" s="117">
        <v>259</v>
      </c>
      <c r="R67" s="117">
        <v>328</v>
      </c>
      <c r="S67" s="117">
        <v>0</v>
      </c>
      <c r="T67" s="117">
        <v>0</v>
      </c>
      <c r="U67" s="117">
        <v>0</v>
      </c>
      <c r="V67" s="117">
        <v>0</v>
      </c>
      <c r="W67" s="117">
        <v>0</v>
      </c>
      <c r="X67" s="117">
        <v>0</v>
      </c>
      <c r="Y67" s="117">
        <v>0</v>
      </c>
      <c r="Z67" s="117">
        <v>0</v>
      </c>
      <c r="AA67" s="117">
        <v>0</v>
      </c>
      <c r="AB67" s="117">
        <v>0.3</v>
      </c>
      <c r="AC67" s="117">
        <v>0</v>
      </c>
      <c r="AD67" s="117">
        <v>0</v>
      </c>
      <c r="AE67" s="117">
        <v>0</v>
      </c>
      <c r="AF67" s="117">
        <v>0</v>
      </c>
      <c r="AG67" s="117">
        <v>0</v>
      </c>
      <c r="AH67" s="117">
        <v>0</v>
      </c>
      <c r="AI67" s="117">
        <v>0</v>
      </c>
      <c r="AJ67" s="117">
        <v>0</v>
      </c>
      <c r="AK67" s="117">
        <v>0</v>
      </c>
      <c r="AL67" s="117">
        <v>0</v>
      </c>
      <c r="AM67" s="117">
        <v>0</v>
      </c>
      <c r="AN67" s="144">
        <v>0</v>
      </c>
      <c r="AO67" s="117">
        <v>0</v>
      </c>
      <c r="AP67" s="117">
        <v>0</v>
      </c>
      <c r="AQ67" s="117">
        <v>0</v>
      </c>
      <c r="AR67" s="117">
        <v>0</v>
      </c>
      <c r="AS67" s="117">
        <v>0</v>
      </c>
      <c r="AT67" s="117">
        <v>0</v>
      </c>
      <c r="AU67" s="117">
        <v>0</v>
      </c>
      <c r="AV67" s="117">
        <v>0</v>
      </c>
      <c r="AW67" s="117">
        <v>0</v>
      </c>
      <c r="AX67" s="117">
        <v>0</v>
      </c>
      <c r="AY67" s="117">
        <v>0</v>
      </c>
      <c r="AZ67" s="117">
        <v>0</v>
      </c>
      <c r="BA67" s="117">
        <v>0</v>
      </c>
      <c r="BB67" s="117">
        <v>0</v>
      </c>
      <c r="BC67" s="117">
        <v>0</v>
      </c>
      <c r="BD67" s="117">
        <v>0</v>
      </c>
      <c r="BE67" s="117">
        <v>0</v>
      </c>
      <c r="BF67" s="117">
        <v>0</v>
      </c>
      <c r="BG67" s="44" t="str">
        <f t="shared" si="0"/>
        <v>new Food('1166199','Fig Newton','Snack','2','cookies','29',['3.45','6.9','72.41','0','345','0','3.4','2.38','0','0','259','328','0','0','0','0','0','0','0','0','0','0.3','0','0','0','0','0','0','0','0','0','0','0','0','0','0','0','0','0','0','0','0','0','0','0','0','0','0','0','0','0','0']),</v>
      </c>
    </row>
    <row r="68" spans="1:71" s="44" customFormat="1" ht="15.75" customHeight="1">
      <c r="A68" s="98">
        <v>171956</v>
      </c>
      <c r="B68" s="45" t="s">
        <v>298</v>
      </c>
      <c r="C68" s="60" t="s">
        <v>207</v>
      </c>
      <c r="D68" s="174">
        <v>1</v>
      </c>
      <c r="E68" s="60"/>
      <c r="F68" s="63">
        <v>100</v>
      </c>
      <c r="G68" s="141">
        <v>22.83</v>
      </c>
      <c r="H68" s="142">
        <v>0.86</v>
      </c>
      <c r="I68" s="141">
        <v>0</v>
      </c>
      <c r="J68" s="141">
        <v>0</v>
      </c>
      <c r="K68" s="142">
        <v>105</v>
      </c>
      <c r="L68" s="142">
        <v>0</v>
      </c>
      <c r="M68" s="142">
        <v>0</v>
      </c>
      <c r="N68" s="142">
        <v>0.49</v>
      </c>
      <c r="O68" s="142">
        <v>42</v>
      </c>
      <c r="P68" s="142">
        <v>138</v>
      </c>
      <c r="Q68" s="142">
        <v>244</v>
      </c>
      <c r="R68" s="142">
        <v>78</v>
      </c>
      <c r="S68" s="142">
        <v>0.57999999999999996</v>
      </c>
      <c r="T68" s="142">
        <v>3.5999999999999997E-2</v>
      </c>
      <c r="U68" s="142">
        <v>0</v>
      </c>
      <c r="V68" s="142">
        <v>37.6</v>
      </c>
      <c r="W68" s="142">
        <v>14</v>
      </c>
      <c r="X68" s="142">
        <v>0.81</v>
      </c>
      <c r="Y68" s="142">
        <v>0</v>
      </c>
      <c r="Z68" s="142">
        <v>0</v>
      </c>
      <c r="AA68" s="142">
        <v>0</v>
      </c>
      <c r="AB68" s="142">
        <v>1</v>
      </c>
      <c r="AC68" s="142">
        <v>8.7999999999999995E-2</v>
      </c>
      <c r="AD68" s="142">
        <v>7.9000000000000001E-2</v>
      </c>
      <c r="AE68" s="142">
        <v>2.5129999999999999</v>
      </c>
      <c r="AF68" s="142">
        <v>0</v>
      </c>
      <c r="AG68" s="142">
        <v>0.28299999999999997</v>
      </c>
      <c r="AH68" s="141">
        <v>1.05</v>
      </c>
      <c r="AI68" s="141">
        <v>83.7</v>
      </c>
      <c r="AJ68" s="141">
        <v>0.1</v>
      </c>
      <c r="AK68" s="142">
        <v>8</v>
      </c>
      <c r="AL68" s="141">
        <v>8</v>
      </c>
      <c r="AM68" s="141">
        <v>0</v>
      </c>
      <c r="AN68" s="141">
        <v>0</v>
      </c>
      <c r="AO68" s="142">
        <v>0</v>
      </c>
      <c r="AP68" s="142">
        <v>0</v>
      </c>
      <c r="AQ68" s="142">
        <v>0</v>
      </c>
      <c r="AR68" s="142">
        <v>0</v>
      </c>
      <c r="AS68" s="142">
        <v>0</v>
      </c>
      <c r="AT68" s="142">
        <v>0</v>
      </c>
      <c r="AU68" s="142">
        <v>0</v>
      </c>
      <c r="AV68" s="142">
        <v>0</v>
      </c>
      <c r="AW68" s="142">
        <v>0</v>
      </c>
      <c r="AX68" s="142">
        <v>0</v>
      </c>
      <c r="AY68" s="142">
        <v>0</v>
      </c>
      <c r="AZ68" s="142">
        <v>0</v>
      </c>
      <c r="BA68" s="142">
        <v>0</v>
      </c>
      <c r="BB68" s="142">
        <v>0</v>
      </c>
      <c r="BC68" s="142">
        <v>0</v>
      </c>
      <c r="BD68" s="142">
        <v>0</v>
      </c>
      <c r="BE68" s="141">
        <v>5</v>
      </c>
      <c r="BF68" s="142">
        <v>0.124</v>
      </c>
      <c r="BG68" s="44" t="str">
        <f t="shared" si="0"/>
        <v>new Food('171956','Fish Atlantic cod','Entre','1','','100',['22.83','0.86','0','0','105','0','0','0.49','42','138','244','78','0.58','0.036','0','37.6','14','0.81','0','0','0','1','0.088','0.079','2.513','0','0.283','1.05','83.7','0.1','8','8','0','0','0','0','0','0','0','0','0','0','0','0','0','0','0','0','0','0','5','0.124']),</v>
      </c>
    </row>
    <row r="69" spans="1:71" s="44" customFormat="1" ht="15.75" customHeight="1">
      <c r="A69" s="97">
        <v>334194</v>
      </c>
      <c r="B69" s="61" t="s">
        <v>299</v>
      </c>
      <c r="C69" s="50" t="s">
        <v>207</v>
      </c>
      <c r="D69" s="174">
        <v>1</v>
      </c>
      <c r="E69" s="60" t="s">
        <v>412</v>
      </c>
      <c r="F69" s="97">
        <v>142</v>
      </c>
      <c r="G69" s="63">
        <v>0</v>
      </c>
      <c r="H69" s="56">
        <v>0.94</v>
      </c>
      <c r="I69" s="63">
        <v>0.08</v>
      </c>
      <c r="J69" s="63">
        <v>0.98</v>
      </c>
      <c r="K69" s="63">
        <v>90</v>
      </c>
      <c r="L69" s="63">
        <v>0</v>
      </c>
      <c r="M69" s="56">
        <v>0</v>
      </c>
      <c r="N69" s="56">
        <v>1.67</v>
      </c>
      <c r="O69" s="56">
        <v>22.7</v>
      </c>
      <c r="P69" s="56">
        <v>137</v>
      </c>
      <c r="Q69" s="56">
        <v>176</v>
      </c>
      <c r="R69" s="56">
        <v>219</v>
      </c>
      <c r="S69" s="63">
        <v>0.66</v>
      </c>
      <c r="T69" s="63">
        <v>4.8000000000000001E-2</v>
      </c>
      <c r="U69" s="63">
        <v>1.9E-2</v>
      </c>
      <c r="V69" s="63">
        <v>67.8</v>
      </c>
      <c r="W69" s="63">
        <v>0</v>
      </c>
      <c r="X69" s="63">
        <v>0</v>
      </c>
      <c r="Y69" s="63">
        <v>47</v>
      </c>
      <c r="Z69" s="63">
        <v>0</v>
      </c>
      <c r="AA69" s="63">
        <v>0</v>
      </c>
      <c r="AB69" s="63">
        <v>0</v>
      </c>
      <c r="AC69" s="63">
        <v>0.03</v>
      </c>
      <c r="AD69" s="63">
        <v>8.2000000000000003E-2</v>
      </c>
      <c r="AE69" s="56">
        <v>9.92</v>
      </c>
      <c r="AF69" s="63">
        <v>0.14799999999999999</v>
      </c>
      <c r="AG69" s="63">
        <v>0.32</v>
      </c>
      <c r="AH69" s="56">
        <v>2.57</v>
      </c>
      <c r="AI69" s="56">
        <v>0</v>
      </c>
      <c r="AJ69" s="56">
        <v>0</v>
      </c>
      <c r="AK69" s="63">
        <v>18</v>
      </c>
      <c r="AL69" s="56">
        <v>0</v>
      </c>
      <c r="AM69" s="56">
        <v>0</v>
      </c>
      <c r="AN69" s="56">
        <v>0</v>
      </c>
      <c r="AO69" s="63">
        <v>0</v>
      </c>
      <c r="AP69" s="63">
        <v>0</v>
      </c>
      <c r="AQ69" s="63">
        <v>0</v>
      </c>
      <c r="AR69" s="63">
        <v>0</v>
      </c>
      <c r="AS69" s="63">
        <v>0</v>
      </c>
      <c r="AT69" s="63">
        <v>0</v>
      </c>
      <c r="AU69" s="63">
        <v>0</v>
      </c>
      <c r="AV69" s="63">
        <v>0</v>
      </c>
      <c r="AW69" s="63">
        <v>0</v>
      </c>
      <c r="AX69" s="63">
        <v>0</v>
      </c>
      <c r="AY69" s="61">
        <v>0</v>
      </c>
      <c r="AZ69" s="63">
        <v>0</v>
      </c>
      <c r="BA69" s="56">
        <v>0</v>
      </c>
      <c r="BB69" s="56">
        <v>0</v>
      </c>
      <c r="BC69" s="56">
        <v>0</v>
      </c>
      <c r="BD69" s="56">
        <v>0</v>
      </c>
      <c r="BE69" s="56">
        <v>36</v>
      </c>
      <c r="BF69" s="63">
        <v>0.114</v>
      </c>
      <c r="BG69" s="44" t="str">
        <f t="shared" si="0"/>
        <v>new Food('334194','Fish tuna light','Entre','1','can','142',['0','0.94','0.08','0.98','90','0','0','1.67','22.7','137','176','219','0.66','0.048','0.019','67.8','0','0','47','0','0','0','0.03','0.082','9.92','0.148','0.32','2.57','0','0','18','0','0','0','0','0','0','0','0','0','0','0','0','0','0','0','0','0','0','0','36','0.114']),</v>
      </c>
    </row>
    <row r="70" spans="1:71" s="44" customFormat="1" ht="15.75" customHeight="1">
      <c r="A70" s="98">
        <v>790018</v>
      </c>
      <c r="B70" s="44" t="s">
        <v>210</v>
      </c>
      <c r="C70" s="50" t="s">
        <v>279</v>
      </c>
      <c r="D70" s="171">
        <v>1</v>
      </c>
      <c r="E70" s="50" t="s">
        <v>70</v>
      </c>
      <c r="F70" s="101"/>
      <c r="G70" s="62">
        <v>12</v>
      </c>
      <c r="H70" s="62">
        <v>1.7</v>
      </c>
      <c r="I70" s="62">
        <v>74.599999999999994</v>
      </c>
      <c r="J70" s="62">
        <v>0</v>
      </c>
      <c r="K70" s="46">
        <v>362</v>
      </c>
      <c r="L70" s="46">
        <v>0.27</v>
      </c>
      <c r="M70" s="62">
        <v>3</v>
      </c>
      <c r="N70" s="46">
        <v>1.1000000000000001</v>
      </c>
      <c r="O70" s="46">
        <v>36</v>
      </c>
      <c r="P70" s="46">
        <v>134</v>
      </c>
      <c r="Q70" s="46">
        <v>150</v>
      </c>
      <c r="R70" s="46">
        <v>2</v>
      </c>
      <c r="S70" s="46">
        <v>1.1499999999999999</v>
      </c>
      <c r="T70" s="46">
        <v>0.21199999999999999</v>
      </c>
      <c r="U70" s="46">
        <v>0</v>
      </c>
      <c r="V70" s="46">
        <v>20.100000000000001</v>
      </c>
      <c r="W70" s="46">
        <v>0</v>
      </c>
      <c r="X70" s="46">
        <v>0.06</v>
      </c>
      <c r="Y70" s="46">
        <v>0</v>
      </c>
      <c r="Z70" s="46">
        <v>0</v>
      </c>
      <c r="AA70" s="46">
        <v>10</v>
      </c>
      <c r="AB70" s="46">
        <v>0</v>
      </c>
      <c r="AC70" s="46">
        <v>0.29799999999999999</v>
      </c>
      <c r="AD70" s="46">
        <v>0</v>
      </c>
      <c r="AE70" s="62">
        <v>1.59</v>
      </c>
      <c r="AF70" s="46">
        <v>0</v>
      </c>
      <c r="AG70" s="62">
        <v>8.5000000000000006E-2</v>
      </c>
      <c r="AH70" s="46">
        <v>0</v>
      </c>
      <c r="AI70" s="46">
        <v>10.4</v>
      </c>
      <c r="AJ70" s="46">
        <v>0.3</v>
      </c>
      <c r="AK70" s="46">
        <v>23</v>
      </c>
      <c r="AL70" s="62">
        <v>23</v>
      </c>
      <c r="AM70" s="46">
        <v>0</v>
      </c>
      <c r="AN70" s="62">
        <v>0</v>
      </c>
      <c r="AO70" s="46">
        <v>0</v>
      </c>
      <c r="AP70" s="46">
        <v>0</v>
      </c>
      <c r="AQ70" s="46">
        <v>0</v>
      </c>
      <c r="AR70" s="46">
        <v>0</v>
      </c>
      <c r="AS70" s="46">
        <v>0</v>
      </c>
      <c r="AT70" s="46">
        <v>0</v>
      </c>
      <c r="AU70" s="46">
        <v>0</v>
      </c>
      <c r="AV70" s="46">
        <v>0</v>
      </c>
      <c r="AW70" s="46">
        <v>0</v>
      </c>
      <c r="AX70" s="46">
        <v>0</v>
      </c>
      <c r="AY70" s="62">
        <v>0</v>
      </c>
      <c r="AZ70" s="46">
        <v>0</v>
      </c>
      <c r="BA70" s="46">
        <v>0</v>
      </c>
      <c r="BB70" s="62">
        <v>0</v>
      </c>
      <c r="BC70" s="62">
        <v>0</v>
      </c>
      <c r="BD70" s="62">
        <v>0</v>
      </c>
      <c r="BE70" s="46">
        <v>0</v>
      </c>
      <c r="BF70" s="46">
        <v>8.6999999999999994E-2</v>
      </c>
      <c r="BG70" s="44" t="str">
        <f t="shared" ref="BG70:BG124" si="1">"new Food('"&amp;A70&amp;"','"&amp;B70&amp;"','"&amp;C70&amp;"','"&amp;D70&amp;"','"&amp;E70&amp;"','"&amp;F70&amp;"',['"&amp;G70&amp;"','"&amp;H70&amp;"','"&amp;I70&amp;"','"&amp;J70&amp;"','"&amp;K70&amp;"','"&amp;L70&amp;"','"&amp;M70&amp;"','"&amp;N70&amp;"','"&amp;O70&amp;"','"&amp;P70&amp;"','"&amp;Q70&amp;"','"&amp;R70&amp;"','"&amp;S70&amp;"','"&amp;T70&amp;"','"&amp;U70&amp;"','"&amp;V70&amp;"','"&amp;W70&amp;"','"&amp;X70&amp;"','"&amp;Y70&amp;"','"&amp;Z70&amp;"','"&amp;AA70&amp;"','"&amp;AB70&amp;"','"&amp;AC70&amp;"','"&amp;AD70&amp;"','"&amp;AE70&amp;"','"&amp;AF70&amp;"','"&amp;AG70&amp;"','"&amp;AH70&amp;"','"&amp;AI70&amp;"','"&amp;AJ70&amp;"','"&amp;AK70&amp;"','"&amp;AL70&amp;"','"&amp;AM70&amp;"','"&amp;AN70&amp;"','"&amp;AO70&amp;"','"&amp;AP70&amp;"','"&amp;AQ70&amp;"','"&amp;AR70&amp;"','"&amp;AS70&amp;"','"&amp;AT70&amp;"','"&amp;AU70&amp;"','"&amp;AV70&amp;"','"&amp;AW70&amp;"','"&amp;AX70&amp;"','"&amp;AY70&amp;"','"&amp;AZ70&amp;"','"&amp;BA70&amp;"','"&amp;BB70&amp;"','"&amp;BC70&amp;"','"&amp;BD70&amp;"','"&amp;BE70&amp;"','"&amp;BF70&amp;"']),"</f>
        <v>new Food('790018','Flour wheat allpurpose unbleached','Grain','1','cup','',['12','1.7','74.6','0','362','0.27','3','1.1','36','134','150','2','1.15','0.212','0','20.1','0','0.06','0','0','10','0','0.298','0','1.59','0','0.085','0','10.4','0.3','23','23','0','0','0','0','0','0','0','0','0','0','0','0','0','0','0','0','0','0','0','0.087']),</v>
      </c>
    </row>
    <row r="71" spans="1:71" s="44" customFormat="1" ht="15.75" customHeight="1">
      <c r="A71" s="98">
        <v>2709932</v>
      </c>
      <c r="B71" s="44" t="s">
        <v>261</v>
      </c>
      <c r="C71" s="60" t="s">
        <v>311</v>
      </c>
      <c r="D71" s="174">
        <v>1</v>
      </c>
      <c r="E71" s="60" t="s">
        <v>418</v>
      </c>
      <c r="F71" s="110">
        <v>3</v>
      </c>
      <c r="G71" s="62">
        <v>2.29</v>
      </c>
      <c r="H71" s="46">
        <v>2.71</v>
      </c>
      <c r="I71" s="62">
        <v>4.41</v>
      </c>
      <c r="J71" s="62">
        <v>0</v>
      </c>
      <c r="K71" s="46">
        <v>46</v>
      </c>
      <c r="L71" s="46">
        <v>1.23</v>
      </c>
      <c r="M71" s="46">
        <v>2.8</v>
      </c>
      <c r="N71" s="46">
        <v>0.5</v>
      </c>
      <c r="O71" s="46">
        <v>11</v>
      </c>
      <c r="P71" s="46">
        <v>36</v>
      </c>
      <c r="Q71" s="46">
        <v>136</v>
      </c>
      <c r="R71" s="46">
        <v>135</v>
      </c>
      <c r="S71" s="46">
        <v>0.2</v>
      </c>
      <c r="T71" s="46">
        <v>2.8000000000000001E-2</v>
      </c>
      <c r="U71" s="46">
        <v>0</v>
      </c>
      <c r="V71" s="46">
        <v>0.6</v>
      </c>
      <c r="W71" s="46">
        <v>11</v>
      </c>
      <c r="X71" s="46">
        <v>1.05</v>
      </c>
      <c r="Y71" s="46">
        <v>0</v>
      </c>
      <c r="Z71" s="46">
        <v>1</v>
      </c>
      <c r="AA71" s="46">
        <v>542</v>
      </c>
      <c r="AB71" s="46">
        <v>34.6</v>
      </c>
      <c r="AC71" s="46">
        <v>4.4999999999999998E-2</v>
      </c>
      <c r="AD71" s="46">
        <v>6.5000000000000002E-2</v>
      </c>
      <c r="AE71" s="46">
        <v>0.372</v>
      </c>
      <c r="AF71" s="46">
        <v>0</v>
      </c>
      <c r="AG71" s="46">
        <v>0.122</v>
      </c>
      <c r="AH71" s="46">
        <v>0</v>
      </c>
      <c r="AI71" s="46">
        <v>24.3</v>
      </c>
      <c r="AJ71" s="46">
        <v>50.5</v>
      </c>
      <c r="AK71" s="46">
        <v>47</v>
      </c>
      <c r="AL71" s="46">
        <v>47</v>
      </c>
      <c r="AM71" s="46">
        <v>0</v>
      </c>
      <c r="AN71" s="46">
        <v>0</v>
      </c>
      <c r="AO71" s="46">
        <v>0</v>
      </c>
      <c r="AP71" s="46">
        <v>0</v>
      </c>
      <c r="AQ71" s="46">
        <v>0</v>
      </c>
      <c r="AR71" s="46">
        <v>0</v>
      </c>
      <c r="AS71" s="46">
        <v>0</v>
      </c>
      <c r="AT71" s="46">
        <v>0</v>
      </c>
      <c r="AU71" s="46">
        <v>0</v>
      </c>
      <c r="AV71" s="46">
        <v>0</v>
      </c>
      <c r="AW71" s="46">
        <v>0</v>
      </c>
      <c r="AX71" s="46">
        <v>0</v>
      </c>
      <c r="AY71" s="46">
        <v>0</v>
      </c>
      <c r="AZ71" s="46">
        <v>0</v>
      </c>
      <c r="BA71" s="46">
        <v>0</v>
      </c>
      <c r="BB71" s="46">
        <v>0</v>
      </c>
      <c r="BC71" s="46">
        <v>0</v>
      </c>
      <c r="BD71" s="46">
        <v>0</v>
      </c>
      <c r="BE71" s="46">
        <v>2</v>
      </c>
      <c r="BF71" s="46">
        <v>0.91500000000000004</v>
      </c>
      <c r="BG71" s="44" t="str">
        <f t="shared" si="1"/>
        <v>new Food('2709932','Garlic cooked','Ingred','1','clove','3',['2.29','2.71','4.41','0','46','1.23','2.8','0.5','11','36','136','135','0.2','0.028','0','0.6','11','1.05','0','1','542','34.6','0.045','0.065','0.372','0','0.122','0','24.3','50.5','47','47','0','0','0','0','0','0','0','0','0','0','0','0','0','0','0','0','0','0','2','0.915']),</v>
      </c>
    </row>
    <row r="72" spans="1:71" s="116" customFormat="1" ht="15.6">
      <c r="A72" s="98">
        <v>2706386</v>
      </c>
      <c r="B72" s="44" t="s">
        <v>300</v>
      </c>
      <c r="C72" s="50" t="s">
        <v>311</v>
      </c>
      <c r="D72" s="180">
        <v>0.5</v>
      </c>
      <c r="E72" s="116" t="s">
        <v>419</v>
      </c>
      <c r="F72" s="116">
        <v>3</v>
      </c>
      <c r="G72" s="116">
        <v>5.28</v>
      </c>
      <c r="H72" s="116">
        <v>0.04</v>
      </c>
      <c r="I72" s="116">
        <v>1.68</v>
      </c>
      <c r="J72" s="116">
        <v>0</v>
      </c>
      <c r="K72" s="161">
        <v>93.5</v>
      </c>
      <c r="L72" s="116">
        <v>0.85</v>
      </c>
      <c r="M72" s="116">
        <v>0.25</v>
      </c>
      <c r="N72" s="116">
        <v>0.76</v>
      </c>
      <c r="O72" s="116">
        <v>9</v>
      </c>
      <c r="P72" s="116">
        <v>57.5</v>
      </c>
      <c r="Q72" s="116">
        <v>110.5</v>
      </c>
      <c r="R72" s="116">
        <v>6.5</v>
      </c>
      <c r="S72" s="116">
        <v>1.32</v>
      </c>
      <c r="T72" s="116">
        <v>0.03</v>
      </c>
      <c r="U72" s="116">
        <v>0</v>
      </c>
      <c r="V72" s="161">
        <v>0.35</v>
      </c>
      <c r="W72" s="161">
        <v>0</v>
      </c>
      <c r="X72" s="161">
        <v>0.88</v>
      </c>
      <c r="Y72" s="161">
        <v>0</v>
      </c>
      <c r="Z72" s="139">
        <v>0</v>
      </c>
      <c r="AA72" s="139">
        <v>35.5</v>
      </c>
      <c r="AB72" s="116">
        <v>1.1499999999999999</v>
      </c>
      <c r="AC72" s="116">
        <v>0.03</v>
      </c>
      <c r="AD72" s="116">
        <v>0.05</v>
      </c>
      <c r="AE72" s="116">
        <v>1.45</v>
      </c>
      <c r="AF72" s="116">
        <v>0</v>
      </c>
      <c r="AG72" s="116">
        <v>0.13</v>
      </c>
      <c r="AH72" s="116">
        <v>0.42</v>
      </c>
      <c r="AI72" s="116">
        <v>14.4</v>
      </c>
      <c r="AJ72" s="116">
        <v>11.45</v>
      </c>
      <c r="AK72" s="116">
        <v>5.5</v>
      </c>
      <c r="AL72" s="116">
        <v>5.5</v>
      </c>
      <c r="AM72" s="116">
        <v>0</v>
      </c>
      <c r="AN72" s="116">
        <v>0</v>
      </c>
      <c r="AO72" s="116">
        <v>0</v>
      </c>
      <c r="AP72" s="116">
        <v>0</v>
      </c>
      <c r="AQ72" s="116">
        <v>0</v>
      </c>
      <c r="AR72" s="116">
        <v>0</v>
      </c>
      <c r="AS72" s="116">
        <v>0</v>
      </c>
      <c r="AT72" s="116">
        <v>0</v>
      </c>
      <c r="AU72" s="116">
        <v>0</v>
      </c>
      <c r="AV72" s="116">
        <v>0</v>
      </c>
      <c r="AW72" s="116">
        <v>0</v>
      </c>
      <c r="AX72" s="116">
        <v>0</v>
      </c>
      <c r="AY72" s="116">
        <v>0</v>
      </c>
      <c r="AZ72" s="116">
        <v>0</v>
      </c>
      <c r="BA72" s="116">
        <v>0</v>
      </c>
      <c r="BB72" s="116">
        <v>0</v>
      </c>
      <c r="BC72" s="116">
        <v>0</v>
      </c>
      <c r="BD72" s="116">
        <v>0</v>
      </c>
      <c r="BE72" s="116">
        <v>21.5</v>
      </c>
      <c r="BF72" s="116">
        <v>2.62</v>
      </c>
      <c r="BG72" s="44" t="str">
        <f t="shared" si="1"/>
        <v>new Food('2706386','Ginger root','Ingred','0.5','tsp','3',['5.28','0.04','1.68','0','93.5','0.85','0.25','0.76','9','57.5','110.5','6.5','1.32','0.03','0','0.35','0','0.88','0','0','35.5','1.15','0.03','0.05','1.45','0','0.13','0.42','14.4','11.45','5.5','5.5','0','0','0','0','0','0','0','0','0','0','0','0','0','0','0','0','0','0','21.5','2.62']),</v>
      </c>
      <c r="BH72" s="44"/>
      <c r="BI72" s="44"/>
      <c r="BJ72" s="44"/>
      <c r="BK72" s="44"/>
      <c r="BL72" s="44"/>
      <c r="BM72" s="44"/>
      <c r="BN72" s="44"/>
      <c r="BO72" s="44"/>
      <c r="BP72" s="44"/>
      <c r="BQ72" s="44"/>
      <c r="BR72" s="44"/>
      <c r="BS72" s="44"/>
    </row>
    <row r="73" spans="1:71" s="116" customFormat="1" ht="15.6">
      <c r="A73" s="98">
        <v>2709165</v>
      </c>
      <c r="B73" s="44" t="s">
        <v>284</v>
      </c>
      <c r="C73" s="50" t="s">
        <v>87</v>
      </c>
      <c r="D73" s="174">
        <v>1</v>
      </c>
      <c r="E73" s="60"/>
      <c r="F73" s="63">
        <v>100</v>
      </c>
      <c r="G73" s="142">
        <v>0.77</v>
      </c>
      <c r="H73" s="142">
        <v>0.14000000000000001</v>
      </c>
      <c r="I73" s="142">
        <v>10.66</v>
      </c>
      <c r="J73" s="141">
        <v>0</v>
      </c>
      <c r="K73" s="141">
        <v>42</v>
      </c>
      <c r="L73" s="142">
        <v>6.89</v>
      </c>
      <c r="M73" s="141">
        <v>1.6</v>
      </c>
      <c r="N73" s="141">
        <v>0.08</v>
      </c>
      <c r="O73" s="141">
        <v>9</v>
      </c>
      <c r="P73" s="142">
        <v>18</v>
      </c>
      <c r="Q73" s="142">
        <v>135</v>
      </c>
      <c r="R73" s="142">
        <v>0</v>
      </c>
      <c r="S73" s="142">
        <v>7.0000000000000007E-2</v>
      </c>
      <c r="T73" s="142">
        <v>3.2000000000000001E-2</v>
      </c>
      <c r="U73" s="142">
        <v>0</v>
      </c>
      <c r="V73" s="142">
        <v>0.1</v>
      </c>
      <c r="W73" s="142">
        <v>0</v>
      </c>
      <c r="X73" s="142">
        <v>0.13</v>
      </c>
      <c r="Y73" s="142">
        <v>0</v>
      </c>
      <c r="Z73" s="142">
        <v>6</v>
      </c>
      <c r="AA73" s="142">
        <v>5</v>
      </c>
      <c r="AB73" s="142">
        <v>31.2</v>
      </c>
      <c r="AC73" s="142">
        <v>4.2999999999999997E-2</v>
      </c>
      <c r="AD73" s="142">
        <v>3.1E-2</v>
      </c>
      <c r="AE73" s="142">
        <v>0.20399999999999999</v>
      </c>
      <c r="AF73" s="142">
        <v>0</v>
      </c>
      <c r="AG73" s="142">
        <v>5.2999999999999999E-2</v>
      </c>
      <c r="AH73" s="141">
        <v>0</v>
      </c>
      <c r="AI73" s="141">
        <v>7.7</v>
      </c>
      <c r="AJ73" s="141">
        <v>0</v>
      </c>
      <c r="AK73" s="142">
        <v>13</v>
      </c>
      <c r="AL73" s="141">
        <v>13</v>
      </c>
      <c r="AM73" s="141">
        <v>0</v>
      </c>
      <c r="AN73" s="141">
        <v>0</v>
      </c>
      <c r="AO73" s="142">
        <v>0</v>
      </c>
      <c r="AP73" s="142">
        <v>0</v>
      </c>
      <c r="AQ73" s="142">
        <v>0</v>
      </c>
      <c r="AR73" s="142">
        <v>0</v>
      </c>
      <c r="AS73" s="142">
        <v>0</v>
      </c>
      <c r="AT73" s="142">
        <v>0</v>
      </c>
      <c r="AU73" s="142">
        <v>0</v>
      </c>
      <c r="AV73" s="142">
        <v>0</v>
      </c>
      <c r="AW73" s="142">
        <v>0</v>
      </c>
      <c r="AX73" s="142">
        <v>0</v>
      </c>
      <c r="AY73" s="142">
        <v>0</v>
      </c>
      <c r="AZ73" s="142">
        <v>0</v>
      </c>
      <c r="BA73" s="142">
        <v>0</v>
      </c>
      <c r="BB73" s="142">
        <v>0</v>
      </c>
      <c r="BC73" s="142">
        <v>0</v>
      </c>
      <c r="BD73" s="142">
        <v>0</v>
      </c>
      <c r="BE73" s="141">
        <v>0</v>
      </c>
      <c r="BF73" s="142">
        <v>0.02</v>
      </c>
      <c r="BG73" s="44" t="str">
        <f t="shared" si="1"/>
        <v>new Food('2709165','Grapefruit','Fruit','1','','100',['0.77','0.14','10.66','0','42','6.89','1.6','0.08','9','18','135','0','0.07','0.032','0','0.1','0','0.13','0','6','5','31.2','0.043','0.031','0.204','0','0.053','0','7.7','0','13','13','0','0','0','0','0','0','0','0','0','0','0','0','0','0','0','0','0','0','0','0.02']),</v>
      </c>
      <c r="BH73" s="44"/>
      <c r="BI73" s="44"/>
      <c r="BJ73" s="44"/>
      <c r="BK73" s="44"/>
      <c r="BL73" s="44"/>
      <c r="BM73" s="44"/>
      <c r="BN73" s="44"/>
      <c r="BO73" s="44"/>
      <c r="BP73" s="44"/>
      <c r="BQ73" s="44"/>
      <c r="BR73" s="44"/>
      <c r="BS73" s="44"/>
    </row>
    <row r="74" spans="1:71" s="116" customFormat="1" ht="15.6">
      <c r="A74" s="98">
        <v>2709213</v>
      </c>
      <c r="B74" s="44" t="s">
        <v>274</v>
      </c>
      <c r="C74" s="50" t="s">
        <v>87</v>
      </c>
      <c r="D74" s="173">
        <v>1</v>
      </c>
      <c r="E74" s="58"/>
      <c r="F74" s="117">
        <v>15</v>
      </c>
      <c r="G74" s="117">
        <v>0.68</v>
      </c>
      <c r="H74" s="144">
        <v>0.21</v>
      </c>
      <c r="I74" s="144">
        <v>16.239999999999998</v>
      </c>
      <c r="J74" s="117">
        <v>0</v>
      </c>
      <c r="K74" s="144">
        <v>68</v>
      </c>
      <c r="L74" s="144">
        <v>12</v>
      </c>
      <c r="M74" s="144">
        <v>1.8</v>
      </c>
      <c r="N74" s="144">
        <v>0.12</v>
      </c>
      <c r="O74" s="144">
        <v>14</v>
      </c>
      <c r="P74" s="144">
        <v>18</v>
      </c>
      <c r="Q74" s="144">
        <v>206</v>
      </c>
      <c r="R74" s="144">
        <v>1</v>
      </c>
      <c r="S74" s="144">
        <v>0.09</v>
      </c>
      <c r="T74" s="144">
        <v>6.0999999999999999E-2</v>
      </c>
      <c r="U74" s="144">
        <v>0</v>
      </c>
      <c r="V74" s="144">
        <v>0.2</v>
      </c>
      <c r="W74" s="144">
        <v>0</v>
      </c>
      <c r="X74" s="144">
        <v>0.18</v>
      </c>
      <c r="Y74" s="144">
        <v>0</v>
      </c>
      <c r="Z74" s="144">
        <v>24</v>
      </c>
      <c r="AA74" s="117">
        <v>49</v>
      </c>
      <c r="AB74" s="117">
        <v>19.8</v>
      </c>
      <c r="AC74" s="117">
        <v>0.05</v>
      </c>
      <c r="AD74" s="117">
        <v>0.26</v>
      </c>
      <c r="AE74" s="117">
        <v>0.35599999999999998</v>
      </c>
      <c r="AF74" s="117">
        <v>0</v>
      </c>
      <c r="AG74" s="117">
        <v>0.10100000000000001</v>
      </c>
      <c r="AH74" s="144">
        <v>0</v>
      </c>
      <c r="AI74" s="144">
        <v>6.8</v>
      </c>
      <c r="AJ74" s="144">
        <v>0</v>
      </c>
      <c r="AK74" s="117">
        <v>11</v>
      </c>
      <c r="AL74" s="144">
        <v>11</v>
      </c>
      <c r="AM74" s="144">
        <v>0</v>
      </c>
      <c r="AN74" s="144">
        <v>0</v>
      </c>
      <c r="AO74" s="117">
        <v>0</v>
      </c>
      <c r="AP74" s="117">
        <v>0</v>
      </c>
      <c r="AQ74" s="117">
        <v>0</v>
      </c>
      <c r="AR74" s="117">
        <v>0</v>
      </c>
      <c r="AS74" s="117">
        <v>0</v>
      </c>
      <c r="AT74" s="117">
        <v>0</v>
      </c>
      <c r="AU74" s="117">
        <v>0</v>
      </c>
      <c r="AV74" s="117">
        <v>0</v>
      </c>
      <c r="AW74" s="117">
        <v>0</v>
      </c>
      <c r="AX74" s="117">
        <v>0</v>
      </c>
      <c r="AY74" s="117">
        <v>0</v>
      </c>
      <c r="AZ74" s="117">
        <v>0</v>
      </c>
      <c r="BA74" s="117">
        <v>0</v>
      </c>
      <c r="BB74" s="117">
        <v>0</v>
      </c>
      <c r="BC74" s="117">
        <v>0</v>
      </c>
      <c r="BD74" s="117">
        <v>0</v>
      </c>
      <c r="BE74" s="144">
        <v>0</v>
      </c>
      <c r="BF74" s="117">
        <v>0.02</v>
      </c>
      <c r="BG74" s="44" t="str">
        <f t="shared" si="1"/>
        <v>new Food('2709213','Grapes red or green raw','Fruit','1','','15',['0.68','0.21','16.24','0','68','12','1.8','0.12','14','18','206','1','0.09','0.061','0','0.2','0','0.18','0','24','49','19.8','0.05','0.26','0.356','0','0.101','0','6.8','0','11','11','0','0','0','0','0','0','0','0','0','0','0','0','0','0','0','0','0','0','0','0.02']),</v>
      </c>
      <c r="BH74" s="44"/>
      <c r="BI74" s="44"/>
      <c r="BJ74" s="44"/>
      <c r="BK74" s="44"/>
      <c r="BL74" s="44"/>
      <c r="BM74" s="44"/>
      <c r="BN74" s="44"/>
      <c r="BO74" s="44"/>
      <c r="BP74" s="44"/>
      <c r="BQ74" s="44"/>
      <c r="BR74" s="44"/>
      <c r="BS74" s="44"/>
    </row>
    <row r="75" spans="1:71" s="44" customFormat="1" ht="15" customHeight="1">
      <c r="A75" s="98">
        <v>323121</v>
      </c>
      <c r="B75" s="44" t="s">
        <v>301</v>
      </c>
      <c r="C75" s="60" t="s">
        <v>207</v>
      </c>
      <c r="D75" s="174">
        <v>1</v>
      </c>
      <c r="E75" s="60"/>
      <c r="F75" s="63">
        <v>100</v>
      </c>
      <c r="G75" s="142">
        <v>11.7</v>
      </c>
      <c r="H75" s="141">
        <v>28</v>
      </c>
      <c r="I75" s="141">
        <v>2.89</v>
      </c>
      <c r="J75" s="141">
        <v>0</v>
      </c>
      <c r="K75" s="141">
        <v>310</v>
      </c>
      <c r="L75" s="142">
        <v>1.26</v>
      </c>
      <c r="M75" s="142">
        <v>0</v>
      </c>
      <c r="N75" s="141">
        <v>1.1399999999999999</v>
      </c>
      <c r="O75" s="142">
        <v>12</v>
      </c>
      <c r="P75" s="141">
        <v>128</v>
      </c>
      <c r="Q75" s="142">
        <v>343</v>
      </c>
      <c r="R75" s="141">
        <v>872</v>
      </c>
      <c r="S75" s="141">
        <v>2.06</v>
      </c>
      <c r="T75" s="141">
        <v>4.5999999999999999E-2</v>
      </c>
      <c r="U75" s="141">
        <v>0</v>
      </c>
      <c r="V75" s="141">
        <v>10.3</v>
      </c>
      <c r="W75" s="141">
        <v>3</v>
      </c>
      <c r="X75" s="141">
        <v>0.51</v>
      </c>
      <c r="Y75" s="141">
        <v>0</v>
      </c>
      <c r="Z75" s="141">
        <v>0</v>
      </c>
      <c r="AA75" s="142">
        <v>0</v>
      </c>
      <c r="AB75" s="142">
        <v>0</v>
      </c>
      <c r="AC75" s="142">
        <v>3.3000000000000002E-2</v>
      </c>
      <c r="AD75" s="142">
        <v>0.154</v>
      </c>
      <c r="AE75" s="142">
        <v>2.25</v>
      </c>
      <c r="AF75" s="142">
        <v>0</v>
      </c>
      <c r="AG75" s="142">
        <v>0.13</v>
      </c>
      <c r="AH75" s="142">
        <v>0.97</v>
      </c>
      <c r="AI75" s="142">
        <v>31.9</v>
      </c>
      <c r="AJ75" s="142">
        <v>1.8</v>
      </c>
      <c r="AK75" s="142">
        <v>0</v>
      </c>
      <c r="AL75" s="142">
        <v>0</v>
      </c>
      <c r="AM75" s="142">
        <v>0</v>
      </c>
      <c r="AN75" s="142">
        <v>0</v>
      </c>
      <c r="AO75" s="142">
        <v>0</v>
      </c>
      <c r="AP75" s="142">
        <v>0</v>
      </c>
      <c r="AQ75" s="142">
        <v>0</v>
      </c>
      <c r="AR75" s="142">
        <v>0</v>
      </c>
      <c r="AS75" s="142">
        <v>0</v>
      </c>
      <c r="AT75" s="142">
        <v>0</v>
      </c>
      <c r="AU75" s="142">
        <v>0</v>
      </c>
      <c r="AV75" s="142">
        <v>0</v>
      </c>
      <c r="AW75" s="142">
        <v>0</v>
      </c>
      <c r="AX75" s="142">
        <v>0</v>
      </c>
      <c r="AY75" s="142">
        <v>0</v>
      </c>
      <c r="AZ75" s="142">
        <v>0</v>
      </c>
      <c r="BA75" s="142">
        <v>0</v>
      </c>
      <c r="BB75" s="142">
        <v>0</v>
      </c>
      <c r="BC75" s="142">
        <v>0</v>
      </c>
      <c r="BD75" s="142">
        <v>0</v>
      </c>
      <c r="BE75" s="142">
        <v>58</v>
      </c>
      <c r="BF75" s="142">
        <v>12.1</v>
      </c>
      <c r="BG75" s="44" t="str">
        <f t="shared" si="1"/>
        <v>new Food('323121','Hot Dog beef','Entre','1','','100',['11.7','28','2.89','0','310','1.26','0','1.14','12','128','343','872','2.06','0.046','0','10.3','3','0.51','0','0','0','0','0.033','0.154','2.25','0','0.13','0.97','31.9','1.8','0','0','0','0','0','0','0','0','0','0','0','0','0','0','0','0','0','0','0','0','58','12.1']),</v>
      </c>
    </row>
    <row r="76" spans="1:71" s="44" customFormat="1" ht="15" customHeight="1">
      <c r="A76" s="98">
        <v>2709594</v>
      </c>
      <c r="B76" s="44" t="s">
        <v>302</v>
      </c>
      <c r="C76" s="50" t="s">
        <v>311</v>
      </c>
      <c r="D76" s="173">
        <v>1</v>
      </c>
      <c r="E76" s="58"/>
      <c r="F76" s="98">
        <v>40</v>
      </c>
      <c r="G76" s="44">
        <v>2.92</v>
      </c>
      <c r="H76" s="45">
        <v>0.71</v>
      </c>
      <c r="I76" s="44">
        <v>5.75</v>
      </c>
      <c r="J76" s="44">
        <v>0</v>
      </c>
      <c r="K76" s="44">
        <v>37</v>
      </c>
      <c r="L76" s="44">
        <v>0.78</v>
      </c>
      <c r="M76" s="44">
        <v>0.78</v>
      </c>
      <c r="N76" s="44">
        <v>1.0900000000000001</v>
      </c>
      <c r="O76" s="44">
        <v>26</v>
      </c>
      <c r="P76" s="44">
        <v>33</v>
      </c>
      <c r="Q76" s="44">
        <v>194</v>
      </c>
      <c r="R76" s="44">
        <v>146</v>
      </c>
      <c r="S76" s="44">
        <v>0.28000000000000003</v>
      </c>
      <c r="T76" s="44">
        <v>6.9000000000000006E-2</v>
      </c>
      <c r="U76" s="44">
        <v>0</v>
      </c>
      <c r="V76" s="44">
        <v>1.2</v>
      </c>
      <c r="W76" s="44">
        <v>0</v>
      </c>
      <c r="X76" s="44">
        <v>1.54</v>
      </c>
      <c r="Y76" s="44">
        <v>0</v>
      </c>
      <c r="Z76" s="62">
        <v>22</v>
      </c>
      <c r="AA76" s="62">
        <v>8185</v>
      </c>
      <c r="AB76" s="44">
        <v>21.2</v>
      </c>
      <c r="AC76" s="44">
        <v>5.2999999999999999E-2</v>
      </c>
      <c r="AD76" s="44">
        <v>0.114</v>
      </c>
      <c r="AE76" s="44">
        <v>0.50800000000000001</v>
      </c>
      <c r="AF76" s="44">
        <v>0</v>
      </c>
      <c r="AG76" s="44">
        <v>8.7999999999999995E-2</v>
      </c>
      <c r="AH76" s="44">
        <v>0</v>
      </c>
      <c r="AI76" s="44">
        <v>18.3</v>
      </c>
      <c r="AJ76" s="44">
        <v>500.4</v>
      </c>
      <c r="AK76" s="44">
        <v>67</v>
      </c>
      <c r="AL76" s="44">
        <v>67</v>
      </c>
      <c r="AM76" s="45">
        <v>0</v>
      </c>
      <c r="AN76" s="44">
        <v>0</v>
      </c>
      <c r="AO76" s="44">
        <v>0</v>
      </c>
      <c r="AP76" s="44">
        <v>0</v>
      </c>
      <c r="AQ76" s="44">
        <v>0</v>
      </c>
      <c r="AR76" s="44">
        <v>0</v>
      </c>
      <c r="AS76" s="44">
        <v>0</v>
      </c>
      <c r="AT76" s="44">
        <v>0</v>
      </c>
      <c r="AU76" s="44">
        <v>0</v>
      </c>
      <c r="AV76" s="44">
        <v>0</v>
      </c>
      <c r="AW76" s="44">
        <v>0</v>
      </c>
      <c r="AX76" s="44">
        <v>0</v>
      </c>
      <c r="AY76" s="44">
        <v>0</v>
      </c>
      <c r="AZ76" s="44">
        <v>0</v>
      </c>
      <c r="BA76" s="44">
        <v>0</v>
      </c>
      <c r="BB76" s="44">
        <v>0</v>
      </c>
      <c r="BC76" s="44">
        <v>0</v>
      </c>
      <c r="BD76" s="44">
        <v>0</v>
      </c>
      <c r="BE76" s="45">
        <v>0</v>
      </c>
      <c r="BF76" s="44">
        <v>5.8999999999999997E-2</v>
      </c>
      <c r="BG76" s="44" t="str">
        <f t="shared" si="1"/>
        <v>new Food('2709594','Kale','Ingred','1','','40',['2.92','0.71','5.75','0','37','0.78','0.78','1.09','26','33','194','146','0.28','0.069','0','1.2','0','1.54','0','22','8185','21.2','0.053','0.114','0.508','0','0.088','0','18.3','500.4','67','67','0','0','0','0','0','0','0','0','0','0','0','0','0','0','0','0','0','0','0','0.059']),</v>
      </c>
    </row>
    <row r="77" spans="1:71" s="44" customFormat="1" ht="15" customHeight="1">
      <c r="A77" s="98">
        <v>2709788</v>
      </c>
      <c r="B77" s="44" t="s">
        <v>306</v>
      </c>
      <c r="C77" s="50" t="s">
        <v>311</v>
      </c>
      <c r="D77" s="173">
        <v>1</v>
      </c>
      <c r="E77" s="58"/>
      <c r="F77" s="98">
        <v>100</v>
      </c>
      <c r="G77" s="62">
        <v>1.7</v>
      </c>
      <c r="H77" s="46">
        <v>0.1</v>
      </c>
      <c r="I77" s="46">
        <v>6.2</v>
      </c>
      <c r="J77" s="46">
        <v>0</v>
      </c>
      <c r="K77" s="46">
        <v>27</v>
      </c>
      <c r="L77" s="46">
        <v>2.6</v>
      </c>
      <c r="M77" s="46">
        <v>3.6</v>
      </c>
      <c r="N77" s="46">
        <v>0.4</v>
      </c>
      <c r="O77" s="46">
        <v>19</v>
      </c>
      <c r="P77" s="46">
        <v>46</v>
      </c>
      <c r="Q77" s="46">
        <v>350</v>
      </c>
      <c r="R77" s="46">
        <v>20</v>
      </c>
      <c r="S77" s="46">
        <v>0.03</v>
      </c>
      <c r="T77" s="46">
        <v>0.129</v>
      </c>
      <c r="U77" s="46">
        <v>0</v>
      </c>
      <c r="V77" s="46">
        <v>0.7</v>
      </c>
      <c r="W77" s="46">
        <v>0</v>
      </c>
      <c r="X77" s="46">
        <v>0.48</v>
      </c>
      <c r="Y77" s="46">
        <v>0</v>
      </c>
      <c r="Z77" s="46">
        <v>0</v>
      </c>
      <c r="AA77" s="46">
        <v>0</v>
      </c>
      <c r="AB77" s="46">
        <v>62</v>
      </c>
      <c r="AC77" s="46">
        <v>0.05</v>
      </c>
      <c r="AD77" s="46">
        <v>0.02</v>
      </c>
      <c r="AE77" s="46">
        <v>0.4</v>
      </c>
      <c r="AF77" s="46">
        <v>0</v>
      </c>
      <c r="AG77" s="46">
        <v>0.15</v>
      </c>
      <c r="AH77" s="46">
        <v>0</v>
      </c>
      <c r="AI77" s="46">
        <v>12.3</v>
      </c>
      <c r="AJ77" s="46">
        <v>0.1</v>
      </c>
      <c r="AK77" s="46">
        <v>16</v>
      </c>
      <c r="AL77" s="46">
        <v>16</v>
      </c>
      <c r="AM77" s="46">
        <v>0</v>
      </c>
      <c r="AN77" s="46">
        <v>0</v>
      </c>
      <c r="AO77" s="46">
        <v>0</v>
      </c>
      <c r="AP77" s="46">
        <v>0</v>
      </c>
      <c r="AQ77" s="46">
        <v>0</v>
      </c>
      <c r="AR77" s="46">
        <v>0</v>
      </c>
      <c r="AS77" s="46">
        <v>0</v>
      </c>
      <c r="AT77" s="46">
        <v>0</v>
      </c>
      <c r="AU77" s="46">
        <v>0</v>
      </c>
      <c r="AV77" s="46">
        <v>0</v>
      </c>
      <c r="AW77" s="46">
        <v>0</v>
      </c>
      <c r="AX77" s="46">
        <v>0</v>
      </c>
      <c r="AY77" s="46">
        <v>0</v>
      </c>
      <c r="AZ77" s="46">
        <v>0</v>
      </c>
      <c r="BA77" s="46">
        <v>0</v>
      </c>
      <c r="BB77" s="46">
        <v>0</v>
      </c>
      <c r="BC77" s="46">
        <v>0</v>
      </c>
      <c r="BD77" s="46">
        <v>0</v>
      </c>
      <c r="BE77" s="46">
        <v>0</v>
      </c>
      <c r="BF77" s="46">
        <v>7.0000000000000001E-3</v>
      </c>
      <c r="BG77" s="44" t="str">
        <f t="shared" si="1"/>
        <v>new Food('2709788','Kohlrabi','Ingred','1','','100',['1.7','0.1','6.2','0','27','2.6','3.6','0.4','19','46','350','20','0.03','0.129','0','0.7','0','0.48','0','0','0','62','0.05','0.02','0.4','0','0.15','0','12.3','0.1','16','16','0','0','0','0','0','0','0','0','0','0','0','0','0','0','0','0','0','0','0','0.007']),</v>
      </c>
    </row>
    <row r="78" spans="1:71" ht="15.6">
      <c r="A78" s="98">
        <v>169246</v>
      </c>
      <c r="B78" s="44" t="s">
        <v>334</v>
      </c>
      <c r="C78" s="50" t="s">
        <v>311</v>
      </c>
      <c r="D78" s="173">
        <v>1</v>
      </c>
      <c r="E78" s="58" t="s">
        <v>70</v>
      </c>
      <c r="F78" s="98">
        <v>89</v>
      </c>
      <c r="G78" s="62">
        <v>1.5</v>
      </c>
      <c r="H78" s="46">
        <v>0.03</v>
      </c>
      <c r="I78" s="46">
        <v>14.15</v>
      </c>
      <c r="J78" s="46">
        <v>0</v>
      </c>
      <c r="K78" s="46">
        <v>81</v>
      </c>
      <c r="L78" s="46">
        <v>3.9</v>
      </c>
      <c r="M78" s="46">
        <v>1.8</v>
      </c>
      <c r="N78" s="46">
        <v>2.1</v>
      </c>
      <c r="O78" s="46">
        <v>2</v>
      </c>
      <c r="P78" s="46">
        <v>35</v>
      </c>
      <c r="Q78" s="46">
        <v>180</v>
      </c>
      <c r="R78" s="46">
        <v>20</v>
      </c>
      <c r="S78" s="46">
        <v>0.12</v>
      </c>
      <c r="T78" s="46">
        <v>0.12</v>
      </c>
      <c r="U78" s="46">
        <v>0</v>
      </c>
      <c r="V78" s="46">
        <v>1</v>
      </c>
      <c r="W78" s="46">
        <v>0</v>
      </c>
      <c r="X78" s="46">
        <v>0.92</v>
      </c>
      <c r="Y78" s="46">
        <v>0</v>
      </c>
      <c r="Z78" s="46">
        <v>0</v>
      </c>
      <c r="AA78" s="46">
        <v>0</v>
      </c>
      <c r="AB78" s="46">
        <v>12</v>
      </c>
      <c r="AC78" s="46">
        <v>0.06</v>
      </c>
      <c r="AD78" s="46">
        <v>0.03</v>
      </c>
      <c r="AE78" s="46">
        <v>0.4</v>
      </c>
      <c r="AF78" s="46">
        <v>0</v>
      </c>
      <c r="AG78" s="46">
        <v>0.23300000000000001</v>
      </c>
      <c r="AH78" s="46">
        <v>0</v>
      </c>
      <c r="AI78" s="46">
        <v>9.5</v>
      </c>
      <c r="AJ78" s="46">
        <v>47</v>
      </c>
      <c r="AK78" s="46">
        <v>64</v>
      </c>
      <c r="AL78" s="46">
        <v>64</v>
      </c>
      <c r="AM78" s="46">
        <v>0</v>
      </c>
      <c r="AN78" s="46">
        <v>0</v>
      </c>
      <c r="AO78" s="46">
        <v>0</v>
      </c>
      <c r="AP78" s="46">
        <v>0</v>
      </c>
      <c r="AQ78" s="46">
        <v>0</v>
      </c>
      <c r="AR78" s="46">
        <v>0</v>
      </c>
      <c r="AS78" s="46">
        <v>0</v>
      </c>
      <c r="AT78" s="46">
        <v>0</v>
      </c>
      <c r="AU78" s="46">
        <v>0</v>
      </c>
      <c r="AV78" s="46">
        <v>0</v>
      </c>
      <c r="AW78" s="46">
        <v>0</v>
      </c>
      <c r="AX78" s="46">
        <v>0</v>
      </c>
      <c r="AY78" s="46">
        <v>0</v>
      </c>
      <c r="AZ78" s="46">
        <v>0</v>
      </c>
      <c r="BA78" s="46">
        <v>0</v>
      </c>
      <c r="BB78" s="46">
        <v>0</v>
      </c>
      <c r="BC78" s="46">
        <v>0</v>
      </c>
      <c r="BD78" s="46">
        <v>0</v>
      </c>
      <c r="BE78" s="46">
        <v>0</v>
      </c>
      <c r="BF78" s="46">
        <v>0</v>
      </c>
      <c r="BG78" s="44" t="str">
        <f t="shared" si="1"/>
        <v>new Food('169246','Leeks bulb and lower leaf-portion','Ingred','1','cup','89',['1.5','0.03','14.15','0','81','3.9','1.8','2.1','2','35','180','20','0.12','0.12','0','1','0','0.92','0','0','0','12','0.06','0.03','0.4','0','0.233','0','9.5','47','64','64','0','0','0','0','0','0','0','0','0','0','0','0','0','0','0','0','0','0','0','0']),</v>
      </c>
      <c r="BH78" s="44"/>
      <c r="BI78" s="44"/>
      <c r="BJ78" s="44"/>
      <c r="BK78" s="44"/>
      <c r="BL78" s="44"/>
      <c r="BM78" s="44"/>
      <c r="BN78" s="44"/>
      <c r="BO78" s="44"/>
      <c r="BP78" s="44"/>
      <c r="BQ78" s="44"/>
      <c r="BR78" s="44"/>
      <c r="BS78" s="44"/>
    </row>
    <row r="79" spans="1:71" ht="15.6">
      <c r="A79" s="98">
        <v>172421</v>
      </c>
      <c r="B79" s="44" t="s">
        <v>335</v>
      </c>
      <c r="C79" s="50" t="s">
        <v>311</v>
      </c>
      <c r="D79" s="180">
        <v>0.25</v>
      </c>
      <c r="E79" s="116" t="s">
        <v>70</v>
      </c>
      <c r="F79" s="116">
        <v>49.5</v>
      </c>
      <c r="G79" s="116">
        <v>2.27</v>
      </c>
      <c r="H79" s="116">
        <v>0.1</v>
      </c>
      <c r="I79" s="116">
        <v>5.03</v>
      </c>
      <c r="J79" s="116">
        <v>0</v>
      </c>
      <c r="K79" s="116">
        <v>29</v>
      </c>
      <c r="L79" s="116">
        <v>0.45</v>
      </c>
      <c r="M79" s="116">
        <v>1.98</v>
      </c>
      <c r="N79" s="116">
        <v>0.83</v>
      </c>
      <c r="O79" s="116">
        <v>9</v>
      </c>
      <c r="P79" s="116">
        <v>45</v>
      </c>
      <c r="Q79" s="116">
        <v>92.5</v>
      </c>
      <c r="R79" s="116">
        <v>0.5</v>
      </c>
      <c r="S79" s="116">
        <v>0.32</v>
      </c>
      <c r="T79" s="116">
        <v>0.06</v>
      </c>
      <c r="U79" s="116">
        <v>0</v>
      </c>
      <c r="V79" s="116">
        <v>0.7</v>
      </c>
      <c r="W79" s="116">
        <v>0</v>
      </c>
      <c r="X79" s="116">
        <v>0.03</v>
      </c>
      <c r="Y79" s="116">
        <v>0</v>
      </c>
      <c r="Z79" s="139">
        <v>0</v>
      </c>
      <c r="AA79" s="139">
        <v>0</v>
      </c>
      <c r="AB79" s="116">
        <v>0.38</v>
      </c>
      <c r="AC79" s="116">
        <v>0.04</v>
      </c>
      <c r="AD79" s="116">
        <v>0.02</v>
      </c>
      <c r="AE79" s="116">
        <v>0.27</v>
      </c>
      <c r="AF79" s="116">
        <v>0</v>
      </c>
      <c r="AG79" s="116">
        <v>0.04</v>
      </c>
      <c r="AH79" s="116">
        <v>0</v>
      </c>
      <c r="AI79" s="116">
        <v>8.18</v>
      </c>
      <c r="AJ79" s="116">
        <v>0.43</v>
      </c>
      <c r="AK79" s="116">
        <v>45.25</v>
      </c>
      <c r="AL79" s="116">
        <v>0</v>
      </c>
      <c r="AM79" s="116">
        <v>0</v>
      </c>
      <c r="AN79" s="116">
        <v>0</v>
      </c>
      <c r="AO79" s="116">
        <v>0</v>
      </c>
      <c r="AP79" s="116">
        <v>0</v>
      </c>
      <c r="AQ79" s="116">
        <v>0</v>
      </c>
      <c r="AR79" s="116">
        <v>0</v>
      </c>
      <c r="AS79" s="116">
        <v>0</v>
      </c>
      <c r="AT79" s="116">
        <v>0</v>
      </c>
      <c r="AU79" s="116">
        <v>0</v>
      </c>
      <c r="AV79" s="116">
        <v>0</v>
      </c>
      <c r="AW79" s="116">
        <v>0</v>
      </c>
      <c r="AX79" s="116">
        <v>0</v>
      </c>
      <c r="AY79" s="116">
        <v>0</v>
      </c>
      <c r="AZ79" s="116">
        <v>0</v>
      </c>
      <c r="BA79" s="116">
        <v>0</v>
      </c>
      <c r="BB79" s="116">
        <v>0</v>
      </c>
      <c r="BC79" s="116">
        <v>0</v>
      </c>
      <c r="BD79" s="116">
        <v>0</v>
      </c>
      <c r="BE79" s="116">
        <v>0</v>
      </c>
      <c r="BF79" s="116">
        <v>0.02</v>
      </c>
      <c r="BG79" s="44" t="str">
        <f t="shared" si="1"/>
        <v>new Food('172421','Lentils boiled','Ingred','0.25','cup','49.5',['2.27','0.1','5.03','0','29','0.45','1.98','0.83','9','45','92.5','0.5','0.32','0.06','0','0.7','0','0.03','0','0','0','0.38','0.04','0.02','0.27','0','0.04','0','8.18','0.43','45.25','0','0','0','0','0','0','0','0','0','0','0','0','0','0','0','0','0','0','0','0','0.02']),</v>
      </c>
      <c r="BH79" s="44"/>
      <c r="BI79" s="44"/>
      <c r="BJ79" s="44"/>
      <c r="BK79" s="44"/>
      <c r="BL79" s="44"/>
      <c r="BM79" s="44"/>
      <c r="BN79" s="44"/>
      <c r="BO79" s="44"/>
      <c r="BP79" s="44"/>
      <c r="BQ79" s="44"/>
      <c r="BR79" s="44"/>
      <c r="BS79" s="44"/>
    </row>
    <row r="80" spans="1:71" s="44" customFormat="1" ht="15" customHeight="1">
      <c r="A80" s="98">
        <v>169248</v>
      </c>
      <c r="B80" s="44" t="s">
        <v>329</v>
      </c>
      <c r="C80" s="50" t="s">
        <v>311</v>
      </c>
      <c r="D80" s="173">
        <v>1</v>
      </c>
      <c r="E80" s="58" t="s">
        <v>70</v>
      </c>
      <c r="F80" s="98">
        <v>72</v>
      </c>
      <c r="G80" s="62">
        <v>0.9</v>
      </c>
      <c r="H80" s="62">
        <v>0.14000000000000001</v>
      </c>
      <c r="I80" s="46">
        <v>2.97</v>
      </c>
      <c r="J80" s="62">
        <v>0</v>
      </c>
      <c r="K80" s="62">
        <v>14</v>
      </c>
      <c r="L80" s="46">
        <v>1.97</v>
      </c>
      <c r="M80" s="46">
        <v>1.2</v>
      </c>
      <c r="N80" s="46">
        <v>0.41</v>
      </c>
      <c r="O80" s="46">
        <v>7</v>
      </c>
      <c r="P80" s="46">
        <v>20</v>
      </c>
      <c r="Q80" s="46">
        <v>141</v>
      </c>
      <c r="R80" s="46">
        <v>10</v>
      </c>
      <c r="S80" s="46">
        <v>0.15</v>
      </c>
      <c r="T80" s="46">
        <v>2.5000000000000001E-2</v>
      </c>
      <c r="U80" s="46">
        <v>0</v>
      </c>
      <c r="V80" s="46">
        <v>0.1</v>
      </c>
      <c r="W80" s="46">
        <v>0</v>
      </c>
      <c r="X80" s="46">
        <v>0.18</v>
      </c>
      <c r="Y80" s="46">
        <v>0</v>
      </c>
      <c r="Z80" s="46">
        <v>0</v>
      </c>
      <c r="AA80" s="46">
        <v>277</v>
      </c>
      <c r="AB80" s="46">
        <v>2.8</v>
      </c>
      <c r="AC80" s="46">
        <v>0.04</v>
      </c>
      <c r="AD80" s="46">
        <v>0.03</v>
      </c>
      <c r="AE80" s="46">
        <v>0.12</v>
      </c>
      <c r="AF80" s="46">
        <v>0</v>
      </c>
      <c r="AG80" s="46">
        <v>0.04</v>
      </c>
      <c r="AH80" s="46">
        <v>0</v>
      </c>
      <c r="AI80" s="46">
        <v>6.7</v>
      </c>
      <c r="AJ80" s="46">
        <v>24.1</v>
      </c>
      <c r="AK80" s="46">
        <v>29</v>
      </c>
      <c r="AL80" s="46">
        <v>29</v>
      </c>
      <c r="AM80" s="46">
        <v>0</v>
      </c>
      <c r="AN80" s="46">
        <v>0</v>
      </c>
      <c r="AO80" s="46">
        <v>0</v>
      </c>
      <c r="AP80" s="46">
        <v>0</v>
      </c>
      <c r="AQ80" s="46">
        <v>0</v>
      </c>
      <c r="AR80" s="46">
        <v>0</v>
      </c>
      <c r="AS80" s="46">
        <v>0</v>
      </c>
      <c r="AT80" s="46">
        <v>0</v>
      </c>
      <c r="AU80" s="46">
        <v>0</v>
      </c>
      <c r="AV80" s="46">
        <v>0</v>
      </c>
      <c r="AW80" s="46">
        <v>0</v>
      </c>
      <c r="AX80" s="46">
        <v>0</v>
      </c>
      <c r="AY80" s="46">
        <v>0</v>
      </c>
      <c r="AZ80" s="46">
        <v>0</v>
      </c>
      <c r="BA80" s="46">
        <v>0</v>
      </c>
      <c r="BB80" s="46">
        <v>0</v>
      </c>
      <c r="BC80" s="46">
        <v>0</v>
      </c>
      <c r="BD80" s="46">
        <v>0</v>
      </c>
      <c r="BE80" s="46">
        <v>0</v>
      </c>
      <c r="BF80" s="46">
        <v>7.0000000000000007E-2</v>
      </c>
      <c r="BG80" s="44" t="str">
        <f t="shared" si="1"/>
        <v>new Food('169248','Lettuce iceberg crisphead','Ingred','1','cup','72',['0.9','0.14','2.97','0','14','1.97','1.2','0.41','7','20','141','10','0.15','0.025','0','0.1','0','0.18','0','0','277','2.8','0.04','0.03','0.12','0','0.04','0','6.7','24.1','29','29','0','0','0','0','0','0','0','0','0','0','0','0','0','0','0','0','0','0','0','0.07']),</v>
      </c>
    </row>
    <row r="81" spans="1:71" s="44" customFormat="1" ht="15" customHeight="1">
      <c r="A81" s="98">
        <v>746769</v>
      </c>
      <c r="B81" s="44" t="s">
        <v>336</v>
      </c>
      <c r="C81" s="50" t="s">
        <v>311</v>
      </c>
      <c r="D81" s="44">
        <v>2</v>
      </c>
      <c r="E81" s="173" t="s">
        <v>337</v>
      </c>
      <c r="F81" s="98">
        <v>581</v>
      </c>
      <c r="G81" s="62">
        <v>1.24</v>
      </c>
      <c r="H81" s="62">
        <v>0.26</v>
      </c>
      <c r="I81" s="62">
        <v>3.24</v>
      </c>
      <c r="J81" s="62">
        <v>0</v>
      </c>
      <c r="K81" s="62">
        <v>20</v>
      </c>
      <c r="L81" s="46">
        <v>1.19</v>
      </c>
      <c r="M81" s="46">
        <v>1.8</v>
      </c>
      <c r="N81" s="46">
        <v>0.95</v>
      </c>
      <c r="O81" s="46">
        <v>14</v>
      </c>
      <c r="P81" s="46">
        <v>30</v>
      </c>
      <c r="Q81" s="46">
        <v>253</v>
      </c>
      <c r="R81" s="46">
        <v>8</v>
      </c>
      <c r="S81" s="46">
        <v>0.25</v>
      </c>
      <c r="T81" s="46">
        <v>4.8000000000000001E-2</v>
      </c>
      <c r="U81" s="46">
        <v>0</v>
      </c>
      <c r="V81" s="62">
        <v>0.4</v>
      </c>
      <c r="W81" s="62">
        <v>0</v>
      </c>
      <c r="X81" s="62">
        <v>0.14000000000000001</v>
      </c>
      <c r="Y81" s="62">
        <v>0</v>
      </c>
      <c r="Z81" s="46">
        <v>0</v>
      </c>
      <c r="AA81" s="46">
        <v>2310</v>
      </c>
      <c r="AB81" s="46">
        <v>4.5999999999999996</v>
      </c>
      <c r="AC81" s="46">
        <v>7.9000000000000001E-2</v>
      </c>
      <c r="AD81" s="46">
        <v>7.1999999999999995E-2</v>
      </c>
      <c r="AE81" s="46">
        <v>0.32300000000000001</v>
      </c>
      <c r="AF81" s="46">
        <v>0</v>
      </c>
      <c r="AG81" s="46">
        <v>7.8E-2</v>
      </c>
      <c r="AH81" s="46">
        <v>0</v>
      </c>
      <c r="AI81" s="46">
        <v>9.9</v>
      </c>
      <c r="AJ81" s="46">
        <v>102</v>
      </c>
      <c r="AK81" s="46">
        <v>50</v>
      </c>
      <c r="AL81" s="46">
        <v>50</v>
      </c>
      <c r="AM81" s="46">
        <v>0</v>
      </c>
      <c r="AN81" s="46">
        <v>0</v>
      </c>
      <c r="AO81" s="46">
        <v>0</v>
      </c>
      <c r="AP81" s="46">
        <v>0</v>
      </c>
      <c r="AQ81" s="46">
        <v>0</v>
      </c>
      <c r="AR81" s="46">
        <v>0</v>
      </c>
      <c r="AS81" s="46">
        <v>0</v>
      </c>
      <c r="AT81" s="46">
        <v>0</v>
      </c>
      <c r="AU81" s="46">
        <v>0</v>
      </c>
      <c r="AV81" s="46">
        <v>0</v>
      </c>
      <c r="AW81" s="46">
        <v>0</v>
      </c>
      <c r="AX81" s="46">
        <v>0</v>
      </c>
      <c r="AY81" s="46">
        <v>0</v>
      </c>
      <c r="AZ81" s="46">
        <v>0</v>
      </c>
      <c r="BA81" s="46">
        <v>0</v>
      </c>
      <c r="BB81" s="46">
        <v>0</v>
      </c>
      <c r="BC81" s="46">
        <v>0</v>
      </c>
      <c r="BD81" s="46">
        <v>0</v>
      </c>
      <c r="BE81" s="46">
        <v>0</v>
      </c>
      <c r="BF81" s="46">
        <v>0.01</v>
      </c>
      <c r="BG81" s="44" t="str">
        <f t="shared" si="1"/>
        <v>new Food('746769','Lettuce romaine','Ingred','2','bunch','581',['1.24','0.26','3.24','0','20','1.19','1.8','0.95','14','30','253','8','0.25','0.048','0','0.4','0','0.14','0','0','2310','4.6','0.079','0.072','0.323','0','0.078','0','9.9','102','50','50','0','0','0','0','0','0','0','0','0','0','0','0','0','0','0','0','0','0','0','0.01']),</v>
      </c>
    </row>
    <row r="82" spans="1:71" s="44" customFormat="1" ht="15" customHeight="1">
      <c r="A82" s="98">
        <v>168156</v>
      </c>
      <c r="B82" s="44" t="s">
        <v>338</v>
      </c>
      <c r="C82" s="50" t="s">
        <v>311</v>
      </c>
      <c r="D82" s="173">
        <v>1</v>
      </c>
      <c r="E82" s="58" t="s">
        <v>70</v>
      </c>
      <c r="F82" s="98">
        <v>242</v>
      </c>
      <c r="G82" s="62">
        <v>0.42</v>
      </c>
      <c r="H82" s="62">
        <v>7.0000000000000007E-2</v>
      </c>
      <c r="I82" s="62">
        <v>8.42</v>
      </c>
      <c r="J82" s="46">
        <v>0</v>
      </c>
      <c r="K82" s="46">
        <v>25</v>
      </c>
      <c r="L82" s="46">
        <v>1.89</v>
      </c>
      <c r="M82" s="46">
        <v>0.4</v>
      </c>
      <c r="N82" s="46">
        <v>0.09</v>
      </c>
      <c r="O82" s="46">
        <v>8</v>
      </c>
      <c r="P82" s="46">
        <v>14</v>
      </c>
      <c r="Q82" s="46">
        <v>117</v>
      </c>
      <c r="R82" s="46">
        <v>2</v>
      </c>
      <c r="S82" s="46">
        <v>0.08</v>
      </c>
      <c r="T82" s="46">
        <v>2.7E-2</v>
      </c>
      <c r="U82" s="46">
        <v>0</v>
      </c>
      <c r="V82" s="46">
        <v>0.1</v>
      </c>
      <c r="W82" s="46">
        <v>0</v>
      </c>
      <c r="X82" s="46">
        <v>0.22</v>
      </c>
      <c r="Y82" s="46">
        <v>0</v>
      </c>
      <c r="Z82" s="46">
        <v>0</v>
      </c>
      <c r="AA82" s="46">
        <v>0</v>
      </c>
      <c r="AB82" s="46">
        <v>30</v>
      </c>
      <c r="AC82" s="46">
        <v>2.5000000000000001E-2</v>
      </c>
      <c r="AD82" s="46">
        <v>1.4999999999999999E-2</v>
      </c>
      <c r="AE82" s="46">
        <v>0.14199999999999999</v>
      </c>
      <c r="AF82" s="46">
        <v>0</v>
      </c>
      <c r="AG82" s="46">
        <v>3.7999999999999999E-2</v>
      </c>
      <c r="AH82" s="46">
        <v>0</v>
      </c>
      <c r="AI82" s="46">
        <v>5.0999999999999996</v>
      </c>
      <c r="AJ82" s="46">
        <v>0.6</v>
      </c>
      <c r="AK82" s="46">
        <v>10</v>
      </c>
      <c r="AL82" s="46">
        <v>10</v>
      </c>
      <c r="AM82" s="46">
        <v>0</v>
      </c>
      <c r="AN82" s="46">
        <v>0</v>
      </c>
      <c r="AO82" s="46">
        <v>0</v>
      </c>
      <c r="AP82" s="46">
        <v>0</v>
      </c>
      <c r="AQ82" s="46">
        <v>0</v>
      </c>
      <c r="AR82" s="46">
        <v>0</v>
      </c>
      <c r="AS82" s="46">
        <v>0</v>
      </c>
      <c r="AT82" s="46">
        <v>0</v>
      </c>
      <c r="AU82" s="46">
        <v>0</v>
      </c>
      <c r="AV82" s="46">
        <v>0</v>
      </c>
      <c r="AW82" s="46">
        <v>0</v>
      </c>
      <c r="AX82" s="46">
        <v>0</v>
      </c>
      <c r="AY82" s="46">
        <v>0</v>
      </c>
      <c r="AZ82" s="46">
        <v>0</v>
      </c>
      <c r="BA82" s="46">
        <v>0</v>
      </c>
      <c r="BB82" s="46">
        <v>0</v>
      </c>
      <c r="BC82" s="46">
        <v>0</v>
      </c>
      <c r="BD82" s="46">
        <v>0</v>
      </c>
      <c r="BE82" s="46">
        <v>0</v>
      </c>
      <c r="BF82" s="46">
        <v>0.01</v>
      </c>
      <c r="BG82" s="44" t="str">
        <f t="shared" si="1"/>
        <v>new Food('168156','Lime juice','Ingred','1','cup','242',['0.42','0.07','8.42','0','25','1.89','0.4','0.09','8','14','117','2','0.08','0.027','0','0.1','0','0.22','0','0','0','30','0.025','0.015','0.142','0','0.038','0','5.1','0.6','10','10','0','0','0','0','0','0','0','0','0','0','0','0','0','0','0','0','0','0','0','0.01']),</v>
      </c>
    </row>
    <row r="83" spans="1:71" ht="15.6">
      <c r="A83" s="98">
        <v>173220</v>
      </c>
      <c r="B83" s="44" t="s">
        <v>303</v>
      </c>
      <c r="C83" s="50" t="s">
        <v>311</v>
      </c>
      <c r="D83" s="171">
        <v>1</v>
      </c>
      <c r="E83" s="50"/>
      <c r="F83" s="101"/>
      <c r="G83" s="62">
        <v>14.29</v>
      </c>
      <c r="H83" s="62">
        <v>9.52</v>
      </c>
      <c r="I83" s="62">
        <v>71.209999999999994</v>
      </c>
      <c r="J83" s="62">
        <v>0</v>
      </c>
      <c r="K83" s="62">
        <v>428</v>
      </c>
      <c r="L83" s="46">
        <v>47.62</v>
      </c>
      <c r="M83" s="62">
        <v>0.1</v>
      </c>
      <c r="N83" s="62">
        <v>0.7</v>
      </c>
      <c r="O83" s="46">
        <v>93</v>
      </c>
      <c r="P83" s="46">
        <v>358</v>
      </c>
      <c r="Q83" s="46">
        <v>758</v>
      </c>
      <c r="R83" s="46">
        <v>405</v>
      </c>
      <c r="S83" s="46">
        <v>0.99</v>
      </c>
      <c r="T83" s="46">
        <v>0.2</v>
      </c>
      <c r="U83" s="46">
        <v>0</v>
      </c>
      <c r="V83" s="62">
        <v>16.399999999999999</v>
      </c>
      <c r="W83" s="62">
        <v>62</v>
      </c>
      <c r="X83" s="62">
        <v>0.36</v>
      </c>
      <c r="Y83" s="62">
        <v>0</v>
      </c>
      <c r="Z83" s="46">
        <v>0</v>
      </c>
      <c r="AA83" s="46">
        <v>7</v>
      </c>
      <c r="AB83" s="46">
        <v>2.9</v>
      </c>
      <c r="AC83" s="46">
        <v>0.505</v>
      </c>
      <c r="AD83" s="46">
        <v>0.92</v>
      </c>
      <c r="AE83" s="46">
        <v>5.2460000000000004</v>
      </c>
      <c r="AF83" s="46">
        <v>0</v>
      </c>
      <c r="AG83" s="46">
        <v>0.41</v>
      </c>
      <c r="AH83" s="46">
        <v>0.8</v>
      </c>
      <c r="AI83" s="46">
        <v>58.7</v>
      </c>
      <c r="AJ83" s="46">
        <v>5.4</v>
      </c>
      <c r="AK83" s="46">
        <v>46</v>
      </c>
      <c r="AL83" s="46">
        <v>46</v>
      </c>
      <c r="AM83" s="46">
        <v>0</v>
      </c>
      <c r="AN83" s="46">
        <v>0</v>
      </c>
      <c r="AO83" s="46">
        <v>0</v>
      </c>
      <c r="AP83" s="46">
        <v>0</v>
      </c>
      <c r="AQ83" s="46">
        <v>0</v>
      </c>
      <c r="AR83" s="46">
        <v>0</v>
      </c>
      <c r="AS83" s="46">
        <v>0</v>
      </c>
      <c r="AT83" s="46">
        <v>0</v>
      </c>
      <c r="AU83" s="46">
        <v>0</v>
      </c>
      <c r="AV83" s="46">
        <v>0</v>
      </c>
      <c r="AW83" s="46">
        <v>0</v>
      </c>
      <c r="AX83" s="46">
        <v>0</v>
      </c>
      <c r="AY83" s="46">
        <v>0</v>
      </c>
      <c r="AZ83" s="46">
        <v>0</v>
      </c>
      <c r="BA83" s="46">
        <v>0</v>
      </c>
      <c r="BB83" s="62">
        <v>0</v>
      </c>
      <c r="BC83" s="62">
        <v>0</v>
      </c>
      <c r="BD83" s="46">
        <v>0</v>
      </c>
      <c r="BE83" s="46">
        <v>24</v>
      </c>
      <c r="BF83" s="46">
        <v>2.157</v>
      </c>
      <c r="BG83" s="44" t="str">
        <f t="shared" si="1"/>
        <v>new Food('173220','Malted drink mix','Ingred','1','','',['14.29','9.52','71.21','0','428','47.62','0.1','0.7','93','358','758','405','0.99','0.2','0','16.4','62','0.36','0','0','7','2.9','0.505','0.92','5.246','0','0.41','0.8','58.7','5.4','46','46','0','0','0','0','0','0','0','0','0','0','0','0','0','0','0','0','0','0','24','2.157']),</v>
      </c>
      <c r="BH83" s="44"/>
      <c r="BI83" s="44"/>
      <c r="BJ83" s="44"/>
      <c r="BK83" s="44"/>
      <c r="BL83" s="44"/>
      <c r="BM83" s="44"/>
      <c r="BN83" s="44"/>
      <c r="BO83" s="44"/>
      <c r="BP83" s="44"/>
      <c r="BQ83" s="44"/>
      <c r="BR83" s="44"/>
      <c r="BS83" s="44"/>
    </row>
    <row r="84" spans="1:71" s="44" customFormat="1" ht="15" customHeight="1">
      <c r="A84" s="97">
        <v>2344667</v>
      </c>
      <c r="B84" t="s">
        <v>353</v>
      </c>
      <c r="C84" s="50" t="s">
        <v>87</v>
      </c>
      <c r="D84" s="174">
        <v>1</v>
      </c>
      <c r="E84" s="60"/>
      <c r="F84" s="97">
        <v>100</v>
      </c>
      <c r="G84">
        <v>0.62</v>
      </c>
      <c r="H84" s="24">
        <v>0.03</v>
      </c>
      <c r="I84">
        <v>9.57</v>
      </c>
      <c r="J84">
        <v>0</v>
      </c>
      <c r="K84" s="24">
        <v>37</v>
      </c>
      <c r="L84">
        <v>0</v>
      </c>
      <c r="M84">
        <v>0.7</v>
      </c>
      <c r="N84">
        <v>0.27</v>
      </c>
      <c r="O84">
        <v>11</v>
      </c>
      <c r="P84">
        <v>10</v>
      </c>
      <c r="Q84">
        <v>133</v>
      </c>
      <c r="R84">
        <v>5</v>
      </c>
      <c r="S84">
        <v>0.51</v>
      </c>
      <c r="T84">
        <v>0.03</v>
      </c>
      <c r="U84">
        <v>0</v>
      </c>
      <c r="V84">
        <v>0.4</v>
      </c>
      <c r="W84">
        <v>0</v>
      </c>
      <c r="X84">
        <v>0.1</v>
      </c>
      <c r="Y84">
        <v>0</v>
      </c>
      <c r="Z84" s="32">
        <v>503</v>
      </c>
      <c r="AA84" s="32">
        <v>163</v>
      </c>
      <c r="AB84">
        <v>34.200000000000003</v>
      </c>
      <c r="AC84">
        <v>0.08</v>
      </c>
      <c r="AD84">
        <v>0.03</v>
      </c>
      <c r="AE84">
        <v>0.45</v>
      </c>
      <c r="AF84">
        <v>0</v>
      </c>
      <c r="AG84">
        <v>0.4</v>
      </c>
      <c r="AH84">
        <v>0</v>
      </c>
      <c r="AI84">
        <v>8.9</v>
      </c>
      <c r="AJ84">
        <v>0</v>
      </c>
      <c r="AK84">
        <v>11</v>
      </c>
      <c r="AL84">
        <v>5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0.01</v>
      </c>
      <c r="BG84" s="44" t="str">
        <f t="shared" si="1"/>
        <v>new Food('2344667','Mandarin oranges','Fruit','1','','100',['0.62','0.03','9.57','0','37','0','0.7','0.27','11','10','133','5','0.51','0.03','0','0.4','0','0.1','0','503','163','34.2','0.08','0.03','0.45','0','0.4','0','8.9','0','11','5','0','0','0','0','0','0','0','0','0','0','0','0','0','0','0','0','0','0','0','0.01']),</v>
      </c>
    </row>
    <row r="85" spans="1:71" s="44" customFormat="1" ht="15" customHeight="1">
      <c r="A85" s="116">
        <v>2709173</v>
      </c>
      <c r="B85" s="116" t="s">
        <v>353</v>
      </c>
      <c r="C85" s="50" t="s">
        <v>87</v>
      </c>
      <c r="D85" s="173">
        <v>0.3</v>
      </c>
      <c r="E85" s="58" t="s">
        <v>412</v>
      </c>
      <c r="F85" s="98">
        <v>100</v>
      </c>
      <c r="G85" s="116">
        <v>0.62</v>
      </c>
      <c r="H85" s="116">
        <v>0.03</v>
      </c>
      <c r="I85" s="116">
        <v>9.57</v>
      </c>
      <c r="J85" s="116">
        <v>0</v>
      </c>
      <c r="K85" s="116">
        <v>37</v>
      </c>
      <c r="L85" s="116">
        <v>8.8699999999999992</v>
      </c>
      <c r="M85" s="116">
        <v>0.7</v>
      </c>
      <c r="N85" s="116">
        <v>0.27</v>
      </c>
      <c r="O85" s="116">
        <v>11</v>
      </c>
      <c r="P85" s="116">
        <v>10</v>
      </c>
      <c r="Q85" s="116">
        <v>133</v>
      </c>
      <c r="R85" s="116">
        <v>5</v>
      </c>
      <c r="S85" s="116">
        <v>0.51</v>
      </c>
      <c r="T85" s="116">
        <v>0.03</v>
      </c>
      <c r="U85" s="44">
        <v>0</v>
      </c>
      <c r="V85" s="44">
        <v>0.4</v>
      </c>
      <c r="W85" s="116">
        <v>0</v>
      </c>
      <c r="X85" s="116">
        <v>0.1</v>
      </c>
      <c r="Y85" s="116">
        <v>0</v>
      </c>
      <c r="Z85" s="139">
        <v>503</v>
      </c>
      <c r="AA85" s="139">
        <v>163</v>
      </c>
      <c r="AB85" s="116">
        <v>34.200000000000003</v>
      </c>
      <c r="AC85" s="116">
        <v>0.08</v>
      </c>
      <c r="AD85" s="116">
        <v>0.03</v>
      </c>
      <c r="AE85" s="116">
        <v>0.45</v>
      </c>
      <c r="AF85" s="116">
        <v>0</v>
      </c>
      <c r="AG85" s="116">
        <v>0.04</v>
      </c>
      <c r="AH85" s="116">
        <v>0</v>
      </c>
      <c r="AI85" s="116">
        <v>8.9</v>
      </c>
      <c r="AJ85" s="116">
        <v>0</v>
      </c>
      <c r="AK85" s="116">
        <v>5</v>
      </c>
      <c r="AL85" s="161">
        <v>5</v>
      </c>
      <c r="AM85" s="116">
        <v>0</v>
      </c>
      <c r="AN85" s="161">
        <v>0</v>
      </c>
      <c r="AO85" s="116">
        <v>0</v>
      </c>
      <c r="AP85" s="116">
        <v>0</v>
      </c>
      <c r="AQ85" s="116">
        <v>0</v>
      </c>
      <c r="AR85" s="116">
        <v>0</v>
      </c>
      <c r="AS85" s="116">
        <v>0</v>
      </c>
      <c r="AT85" s="116">
        <v>0</v>
      </c>
      <c r="AU85" s="116">
        <v>0</v>
      </c>
      <c r="AV85" s="116">
        <v>0</v>
      </c>
      <c r="AW85" s="116">
        <v>0</v>
      </c>
      <c r="AX85" s="116">
        <v>0</v>
      </c>
      <c r="AY85" s="116">
        <v>0</v>
      </c>
      <c r="AZ85" s="116">
        <v>0</v>
      </c>
      <c r="BA85" s="116">
        <v>0</v>
      </c>
      <c r="BB85" s="116">
        <v>0</v>
      </c>
      <c r="BC85" s="116">
        <v>0</v>
      </c>
      <c r="BD85" s="116">
        <v>0</v>
      </c>
      <c r="BE85" s="116">
        <v>0</v>
      </c>
      <c r="BF85" s="116">
        <v>0</v>
      </c>
      <c r="BG85" s="44" t="str">
        <f t="shared" si="1"/>
        <v>new Food('2709173','Mandarin oranges','Fruit','0.3','can','100',['0.62','0.03','9.57','0','37','8.87','0.7','0.27','11','10','133','5','0.51','0.03','0','0.4','0','0.1','0','503','163','34.2','0.08','0.03','0.45','0','0.04','0','8.9','0','5','5','0','0','0','0','0','0','0','0','0','0','0','0','0','0','0','0','0','0','0','0']),</v>
      </c>
      <c r="BH85" s="116"/>
      <c r="BI85" s="116"/>
      <c r="BJ85" s="116"/>
      <c r="BK85" s="116"/>
      <c r="BL85" s="116"/>
      <c r="BM85" s="116"/>
      <c r="BN85" s="116"/>
      <c r="BO85" s="116"/>
      <c r="BP85" s="116"/>
      <c r="BQ85" s="116"/>
      <c r="BR85" s="116"/>
      <c r="BS85" s="116"/>
    </row>
    <row r="86" spans="1:71" s="44" customFormat="1" ht="15" customHeight="1">
      <c r="A86" s="99">
        <v>169582</v>
      </c>
      <c r="B86" s="61" t="s">
        <v>258</v>
      </c>
      <c r="C86" s="60" t="s">
        <v>285</v>
      </c>
      <c r="D86" s="174">
        <v>1</v>
      </c>
      <c r="E86" s="60" t="s">
        <v>422</v>
      </c>
      <c r="F86" s="56">
        <v>54</v>
      </c>
      <c r="G86" s="144">
        <v>9.57</v>
      </c>
      <c r="H86" s="144">
        <v>26.13</v>
      </c>
      <c r="I86" s="144">
        <v>60.48</v>
      </c>
      <c r="J86" s="117">
        <v>1.44</v>
      </c>
      <c r="K86" s="117">
        <v>515</v>
      </c>
      <c r="L86" s="117">
        <v>50.75</v>
      </c>
      <c r="M86" s="144">
        <v>3.7</v>
      </c>
      <c r="N86" s="117">
        <v>1.1599999999999999</v>
      </c>
      <c r="O86" s="117">
        <v>69</v>
      </c>
      <c r="P86" s="117">
        <v>190</v>
      </c>
      <c r="Q86" s="117">
        <v>347</v>
      </c>
      <c r="R86" s="63">
        <v>50</v>
      </c>
      <c r="S86" s="117">
        <v>1.76</v>
      </c>
      <c r="T86" s="117">
        <v>0.505</v>
      </c>
      <c r="U86" s="117">
        <v>6.4000000000000001E-2</v>
      </c>
      <c r="V86" s="117">
        <v>4.0999999999999996</v>
      </c>
      <c r="W86" s="144">
        <v>22</v>
      </c>
      <c r="X86" s="117">
        <v>2.85</v>
      </c>
      <c r="Y86" s="117">
        <v>0</v>
      </c>
      <c r="Z86" s="117">
        <v>0</v>
      </c>
      <c r="AA86" s="144">
        <v>0</v>
      </c>
      <c r="AB86" s="144">
        <v>0</v>
      </c>
      <c r="AC86" s="144">
        <v>6.3E-2</v>
      </c>
      <c r="AD86" s="144">
        <v>0.106</v>
      </c>
      <c r="AE86" s="117">
        <v>3.3620000000000001</v>
      </c>
      <c r="AF86" s="117">
        <v>0.627</v>
      </c>
      <c r="AG86" s="117">
        <v>0.09</v>
      </c>
      <c r="AH86" s="144">
        <v>0.32</v>
      </c>
      <c r="AI86" s="144">
        <v>37.299999999999997</v>
      </c>
      <c r="AJ86" s="144">
        <v>3</v>
      </c>
      <c r="AK86" s="117">
        <v>102</v>
      </c>
      <c r="AL86" s="144">
        <v>55</v>
      </c>
      <c r="AM86" s="144">
        <v>0</v>
      </c>
      <c r="AN86" s="144">
        <v>0</v>
      </c>
      <c r="AO86" s="117">
        <v>0</v>
      </c>
      <c r="AP86" s="117">
        <v>0</v>
      </c>
      <c r="AQ86" s="117">
        <v>0</v>
      </c>
      <c r="AR86" s="117">
        <v>0</v>
      </c>
      <c r="AS86" s="117">
        <v>0</v>
      </c>
      <c r="AT86" s="117">
        <v>0</v>
      </c>
      <c r="AU86" s="117">
        <v>0</v>
      </c>
      <c r="AV86" s="117">
        <v>0</v>
      </c>
      <c r="AW86" s="117">
        <v>0</v>
      </c>
      <c r="AX86" s="117">
        <v>0</v>
      </c>
      <c r="AY86" s="56">
        <v>0</v>
      </c>
      <c r="AZ86" s="144">
        <v>0</v>
      </c>
      <c r="BA86" s="56">
        <v>0</v>
      </c>
      <c r="BB86" s="56">
        <v>0</v>
      </c>
      <c r="BC86" s="144">
        <v>0</v>
      </c>
      <c r="BD86" s="56">
        <v>0</v>
      </c>
      <c r="BE86" s="117">
        <v>8</v>
      </c>
      <c r="BF86" s="117">
        <v>8.0860000000000003</v>
      </c>
      <c r="BG86" s="44" t="str">
        <f t="shared" si="1"/>
        <v>new Food('169582','MandMs Peanut Chocolate Candies','Snack','1','bag','54',['9.57','26.13','60.48','1.44','515','50.75','3.7','1.16','69','190','347','50','1.76','0.505','0.064','4.1','22','2.85','0','0','0','0','0.063','0.106','3.362','0.627','0.09','0.32','37.3','3','102','55','0','0','0','0','0','0','0','0','0','0','0','0','0','0','0','0','0','0','8','8.086']),</v>
      </c>
    </row>
    <row r="87" spans="1:71" s="44" customFormat="1" ht="15" customHeight="1">
      <c r="A87" s="98">
        <v>2705497</v>
      </c>
      <c r="B87" s="44" t="s">
        <v>278</v>
      </c>
      <c r="C87" s="77" t="s">
        <v>280</v>
      </c>
      <c r="D87" s="174">
        <v>1</v>
      </c>
      <c r="E87" s="60" t="s">
        <v>70</v>
      </c>
      <c r="F87" s="63"/>
      <c r="G87" s="141">
        <v>3.16</v>
      </c>
      <c r="H87" s="141">
        <v>1.8</v>
      </c>
      <c r="I87" s="142">
        <v>10.7</v>
      </c>
      <c r="J87" s="141">
        <v>0</v>
      </c>
      <c r="K87" s="142">
        <v>71</v>
      </c>
      <c r="L87" s="141">
        <v>10.46</v>
      </c>
      <c r="M87" s="141">
        <v>0</v>
      </c>
      <c r="N87" s="142">
        <v>0.03</v>
      </c>
      <c r="O87" s="142">
        <v>11</v>
      </c>
      <c r="P87" s="142">
        <v>97</v>
      </c>
      <c r="Q87" s="142">
        <v>150</v>
      </c>
      <c r="R87" s="142">
        <v>39</v>
      </c>
      <c r="S87" s="142">
        <v>0.4</v>
      </c>
      <c r="T87" s="142">
        <v>1E-3</v>
      </c>
      <c r="U87" s="142">
        <v>0</v>
      </c>
      <c r="V87" s="142">
        <v>1.7</v>
      </c>
      <c r="W87" s="142">
        <v>78</v>
      </c>
      <c r="X87" s="142">
        <v>0.03</v>
      </c>
      <c r="Y87" s="142">
        <v>0</v>
      </c>
      <c r="Z87" s="142">
        <v>0</v>
      </c>
      <c r="AA87" s="142">
        <v>0</v>
      </c>
      <c r="AB87" s="142">
        <v>0.2</v>
      </c>
      <c r="AC87" s="142">
        <v>5.6000000000000001E-2</v>
      </c>
      <c r="AD87" s="142">
        <v>0.13500000000000001</v>
      </c>
      <c r="AE87" s="142">
        <v>0.11</v>
      </c>
      <c r="AF87" s="142">
        <v>0</v>
      </c>
      <c r="AG87" s="142">
        <v>5.7000000000000002E-2</v>
      </c>
      <c r="AH87" s="142">
        <v>0.52</v>
      </c>
      <c r="AI87" s="141">
        <v>17.100000000000001</v>
      </c>
      <c r="AJ87" s="142">
        <v>0.2</v>
      </c>
      <c r="AK87" s="142">
        <v>2</v>
      </c>
      <c r="AL87" s="141">
        <v>2</v>
      </c>
      <c r="AM87" s="141">
        <v>0</v>
      </c>
      <c r="AN87" s="141">
        <v>0</v>
      </c>
      <c r="AO87" s="142">
        <v>0</v>
      </c>
      <c r="AP87" s="142">
        <v>0</v>
      </c>
      <c r="AQ87" s="142">
        <v>0</v>
      </c>
      <c r="AR87" s="142">
        <v>0</v>
      </c>
      <c r="AS87" s="142">
        <v>0</v>
      </c>
      <c r="AT87" s="142">
        <v>0</v>
      </c>
      <c r="AU87" s="142">
        <v>0</v>
      </c>
      <c r="AV87" s="142">
        <v>0</v>
      </c>
      <c r="AW87" s="142">
        <v>0</v>
      </c>
      <c r="AX87" s="142">
        <v>0</v>
      </c>
      <c r="AY87" s="142">
        <v>0</v>
      </c>
      <c r="AZ87" s="142">
        <v>0</v>
      </c>
      <c r="BA87" s="142">
        <v>0</v>
      </c>
      <c r="BB87" s="142">
        <v>0</v>
      </c>
      <c r="BC87" s="142">
        <v>0</v>
      </c>
      <c r="BD87" s="142">
        <v>0</v>
      </c>
      <c r="BE87" s="142">
        <v>8</v>
      </c>
      <c r="BF87" s="142">
        <v>0.375</v>
      </c>
      <c r="BG87" s="44" t="str">
        <f t="shared" si="1"/>
        <v>new Food('2705497','Milk 2percent','Bev','1','cup','',['3.16','1.8','10.7','0','71','10.46','0','0.03','11','97','150','39','0.4','0.001','0','1.7','78','0.03','0','0','0','0.2','0.056','0.135','0.11','0','0.057','0.52','17.1','0.2','2','2','0','0','0','0','0','0','0','0','0','0','0','0','0','0','0','0','0','0','8','0.375']),</v>
      </c>
    </row>
    <row r="88" spans="1:71" ht="15.6">
      <c r="A88" s="97">
        <v>1300559</v>
      </c>
      <c r="B88" s="61" t="s">
        <v>369</v>
      </c>
      <c r="C88" s="50" t="s">
        <v>311</v>
      </c>
      <c r="D88" s="174">
        <v>1</v>
      </c>
      <c r="E88" s="60"/>
      <c r="F88" s="97">
        <v>15</v>
      </c>
      <c r="G88" s="63">
        <v>0</v>
      </c>
      <c r="H88" s="56">
        <v>33.33</v>
      </c>
      <c r="I88" s="24">
        <v>11.67</v>
      </c>
      <c r="J88" s="24">
        <v>0</v>
      </c>
      <c r="K88" s="24">
        <v>333</v>
      </c>
      <c r="L88" s="63">
        <v>6.67</v>
      </c>
      <c r="M88">
        <v>0</v>
      </c>
      <c r="N88">
        <v>0</v>
      </c>
      <c r="O88" s="56">
        <v>0</v>
      </c>
      <c r="Q88" s="56">
        <v>6.67</v>
      </c>
      <c r="R88" s="56">
        <v>20</v>
      </c>
      <c r="S88" s="63">
        <v>0</v>
      </c>
      <c r="T88" s="63">
        <v>0</v>
      </c>
      <c r="U88" s="63">
        <v>0</v>
      </c>
      <c r="V88" s="56">
        <v>0</v>
      </c>
      <c r="W88" s="56">
        <v>0</v>
      </c>
      <c r="X88" s="56">
        <v>0</v>
      </c>
      <c r="Y88" s="56">
        <v>0</v>
      </c>
      <c r="Z88" s="63">
        <v>0</v>
      </c>
      <c r="AA88" s="32">
        <v>0</v>
      </c>
      <c r="AB88" s="63">
        <v>0</v>
      </c>
      <c r="AC88" s="63">
        <v>0</v>
      </c>
      <c r="AD88" s="63">
        <v>0</v>
      </c>
      <c r="AF88" s="63">
        <v>0</v>
      </c>
      <c r="AG88" s="63">
        <v>0</v>
      </c>
      <c r="AH88" s="56">
        <v>0</v>
      </c>
      <c r="AI88" s="56">
        <v>0</v>
      </c>
      <c r="AJ88" s="56">
        <v>0</v>
      </c>
      <c r="AK88" s="56">
        <v>0</v>
      </c>
      <c r="AL88" s="56">
        <v>0</v>
      </c>
      <c r="AM88" s="56">
        <v>0</v>
      </c>
      <c r="AN88" s="63">
        <v>0</v>
      </c>
      <c r="AO88" s="63">
        <v>0</v>
      </c>
      <c r="AP88" s="63">
        <v>0</v>
      </c>
      <c r="AQ88" s="63">
        <v>0</v>
      </c>
      <c r="AR88" s="63">
        <v>0</v>
      </c>
      <c r="AS88" s="63">
        <v>0</v>
      </c>
      <c r="AT88" s="63">
        <v>0</v>
      </c>
      <c r="AU88" s="63">
        <v>0</v>
      </c>
      <c r="AV88" s="63">
        <v>0</v>
      </c>
      <c r="AW88" s="63">
        <v>0</v>
      </c>
      <c r="AX88" s="63">
        <v>0</v>
      </c>
      <c r="AY88" s="63">
        <v>0</v>
      </c>
      <c r="AZ88" s="63">
        <v>0</v>
      </c>
      <c r="BA88" s="63">
        <v>0</v>
      </c>
      <c r="BB88" s="63">
        <v>0</v>
      </c>
      <c r="BC88" s="56">
        <v>0</v>
      </c>
      <c r="BD88" s="56">
        <v>0</v>
      </c>
      <c r="BE88" s="56">
        <v>0</v>
      </c>
      <c r="BF88" s="56">
        <v>6.67</v>
      </c>
      <c r="BG88" s="44" t="str">
        <f t="shared" si="1"/>
        <v>new Food('1300559','Miracle Whip','Ingred','1','','15',['0','33.33','11.67','0','333','6.67','0','0','0','','6.67','20','0','0','0','0','0','0','0','0','0','0','0','0','','0','0','0','0','0','0','0','0','0','0','0','0','0','0','0','0','0','0','0','0','0','0','0','0','0','0','6.67']),</v>
      </c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</row>
    <row r="89" spans="1:71" s="44" customFormat="1" ht="15" customHeight="1">
      <c r="A89" s="98">
        <v>168759</v>
      </c>
      <c r="B89" s="44" t="s">
        <v>250</v>
      </c>
      <c r="C89" s="60" t="s">
        <v>285</v>
      </c>
      <c r="D89" s="174">
        <v>1</v>
      </c>
      <c r="E89" s="60" t="s">
        <v>406</v>
      </c>
      <c r="F89" s="63"/>
      <c r="G89" s="165">
        <v>4.5999999999999996</v>
      </c>
      <c r="H89" s="165">
        <v>26.6</v>
      </c>
      <c r="I89" s="165">
        <v>58.88</v>
      </c>
      <c r="J89" s="141">
        <v>0</v>
      </c>
      <c r="K89" s="165">
        <v>493</v>
      </c>
      <c r="L89" s="142">
        <v>46.19</v>
      </c>
      <c r="M89" s="142">
        <v>3.7</v>
      </c>
      <c r="N89" s="142">
        <v>2.09</v>
      </c>
      <c r="O89" s="142">
        <v>55</v>
      </c>
      <c r="P89" s="142">
        <v>91</v>
      </c>
      <c r="Q89" s="142">
        <v>321</v>
      </c>
      <c r="R89" s="142">
        <v>145</v>
      </c>
      <c r="S89" s="142">
        <v>1.1000000000000001</v>
      </c>
      <c r="T89" s="142">
        <v>0.4</v>
      </c>
      <c r="U89" s="142">
        <v>0</v>
      </c>
      <c r="V89" s="142">
        <v>6.6</v>
      </c>
      <c r="W89" s="142">
        <v>0</v>
      </c>
      <c r="X89" s="142">
        <v>0.19</v>
      </c>
      <c r="Y89" s="142">
        <v>0</v>
      </c>
      <c r="Z89" s="142">
        <v>0</v>
      </c>
      <c r="AA89" s="142">
        <v>5</v>
      </c>
      <c r="AB89" s="142">
        <v>0.4</v>
      </c>
      <c r="AC89" s="142">
        <v>4.9000000000000002E-2</v>
      </c>
      <c r="AD89" s="142">
        <v>5.8000000000000003E-2</v>
      </c>
      <c r="AE89" s="142">
        <v>0.27700000000000002</v>
      </c>
      <c r="AF89" s="142">
        <v>0</v>
      </c>
      <c r="AG89" s="142">
        <v>0.09</v>
      </c>
      <c r="AH89" s="142">
        <v>0</v>
      </c>
      <c r="AI89" s="142">
        <v>11.8</v>
      </c>
      <c r="AJ89" s="142">
        <v>1.6</v>
      </c>
      <c r="AK89" s="142">
        <v>6</v>
      </c>
      <c r="AL89" s="142">
        <v>6</v>
      </c>
      <c r="AM89" s="142">
        <v>0</v>
      </c>
      <c r="AN89" s="142">
        <v>0</v>
      </c>
      <c r="AO89" s="142">
        <v>0</v>
      </c>
      <c r="AP89" s="142">
        <v>0</v>
      </c>
      <c r="AQ89" s="142">
        <v>0</v>
      </c>
      <c r="AR89" s="142">
        <v>0</v>
      </c>
      <c r="AS89" s="142">
        <v>0</v>
      </c>
      <c r="AT89" s="142">
        <v>0</v>
      </c>
      <c r="AU89" s="142">
        <v>0</v>
      </c>
      <c r="AV89" s="142">
        <v>0</v>
      </c>
      <c r="AW89" s="142">
        <v>0</v>
      </c>
      <c r="AX89" s="142">
        <v>0</v>
      </c>
      <c r="AY89" s="142">
        <v>0</v>
      </c>
      <c r="AZ89" s="142">
        <v>0</v>
      </c>
      <c r="BA89" s="142">
        <v>0</v>
      </c>
      <c r="BB89" s="142">
        <v>0</v>
      </c>
      <c r="BC89" s="142">
        <v>0</v>
      </c>
      <c r="BD89" s="142">
        <v>0</v>
      </c>
      <c r="BE89" s="142">
        <v>2</v>
      </c>
      <c r="BF89" s="142">
        <v>0.39</v>
      </c>
      <c r="BG89" s="44" t="str">
        <f t="shared" si="1"/>
        <v>new Food('168759','Mounds Candy Bar','Snack','1','bar','',['4.6','26.6','58.88','0','493','46.19','3.7','2.09','55','91','321','145','1.1','0.4','0','6.6','0','0.19','0','0','5','0.4','0.049','0.058','0.277','0','0.09','0','11.8','1.6','6','6','0','0','0','0','0','0','0','0','0','0','0','0','0','0','0','0','0','0','2','0.39']),</v>
      </c>
    </row>
    <row r="90" spans="1:71" s="44" customFormat="1" ht="15" customHeight="1">
      <c r="A90" s="98">
        <v>2706816</v>
      </c>
      <c r="B90" s="45" t="s">
        <v>269</v>
      </c>
      <c r="C90" s="50" t="s">
        <v>343</v>
      </c>
      <c r="D90" s="174">
        <v>14</v>
      </c>
      <c r="E90" s="60" t="s">
        <v>423</v>
      </c>
      <c r="F90" s="110" t="s">
        <v>271</v>
      </c>
      <c r="G90" s="69">
        <v>11.44</v>
      </c>
      <c r="H90" s="69">
        <v>5.46</v>
      </c>
      <c r="I90" s="69">
        <v>9.5</v>
      </c>
      <c r="J90" s="69">
        <v>0</v>
      </c>
      <c r="K90" s="69">
        <v>130</v>
      </c>
      <c r="L90" s="62">
        <v>2.99</v>
      </c>
      <c r="M90" s="69">
        <v>1.9</v>
      </c>
      <c r="N90" s="69">
        <v>0.96</v>
      </c>
      <c r="O90" s="46">
        <v>35</v>
      </c>
      <c r="P90" s="46">
        <v>126</v>
      </c>
      <c r="Q90" s="46">
        <v>280</v>
      </c>
      <c r="R90" s="46">
        <v>176</v>
      </c>
      <c r="S90" s="46">
        <v>0.6</v>
      </c>
      <c r="T90" s="46">
        <v>9.6000000000000002E-2</v>
      </c>
      <c r="U90" s="46">
        <v>0</v>
      </c>
      <c r="V90" s="46">
        <v>9.6999999999999993</v>
      </c>
      <c r="W90" s="46">
        <v>2</v>
      </c>
      <c r="X90" s="46">
        <v>1.78</v>
      </c>
      <c r="Y90" s="46">
        <v>0</v>
      </c>
      <c r="Z90" s="46">
        <v>94</v>
      </c>
      <c r="AA90" s="46">
        <v>830</v>
      </c>
      <c r="AB90" s="46">
        <v>10</v>
      </c>
      <c r="AC90" s="46">
        <v>0.108</v>
      </c>
      <c r="AD90" s="46">
        <v>0.16800000000000001</v>
      </c>
      <c r="AE90" s="46">
        <v>3.7959999999999998</v>
      </c>
      <c r="AF90" s="46">
        <v>0</v>
      </c>
      <c r="AG90" s="46">
        <v>0.156</v>
      </c>
      <c r="AH90" s="62">
        <v>0.09</v>
      </c>
      <c r="AI90" s="62">
        <v>28.9</v>
      </c>
      <c r="AJ90" s="62">
        <v>51.8</v>
      </c>
      <c r="AK90" s="46">
        <v>29</v>
      </c>
      <c r="AL90" s="62">
        <v>39</v>
      </c>
      <c r="AM90" s="62">
        <v>0</v>
      </c>
      <c r="AN90" s="62">
        <v>0</v>
      </c>
      <c r="AO90" s="46">
        <v>0</v>
      </c>
      <c r="AP90" s="46">
        <v>0</v>
      </c>
      <c r="AQ90" s="46">
        <v>0</v>
      </c>
      <c r="AR90" s="46">
        <v>0</v>
      </c>
      <c r="AS90" s="46">
        <v>0</v>
      </c>
      <c r="AT90" s="46">
        <v>0</v>
      </c>
      <c r="AU90" s="46">
        <v>0</v>
      </c>
      <c r="AV90" s="46">
        <v>0</v>
      </c>
      <c r="AW90" s="46">
        <v>0</v>
      </c>
      <c r="AX90" s="46">
        <v>0</v>
      </c>
      <c r="AY90" s="46">
        <v>0</v>
      </c>
      <c r="AZ90" s="46">
        <v>0</v>
      </c>
      <c r="BA90" s="46">
        <v>0</v>
      </c>
      <c r="BB90" s="46">
        <v>0</v>
      </c>
      <c r="BC90" s="46">
        <v>0</v>
      </c>
      <c r="BD90" s="46">
        <v>0</v>
      </c>
      <c r="BE90" s="62">
        <v>27</v>
      </c>
      <c r="BF90" s="46">
        <v>2.7669999999999999</v>
      </c>
      <c r="BG90" s="44" t="str">
        <f t="shared" si="1"/>
        <v>new Food('2706816','Noodles chow mein','Side 1','14','pieces','114g',['11.44','5.46','9.5','0','130','2.99','1.9','0.96','35','126','280','176','0.6','0.096','0','9.7','2','1.78','0','94','830','10','0.108','0.168','3.796','0','0.156','0.09','28.9','51.8','29','39','0','0','0','0','0','0','0','0','0','0','0','0','0','0','0','0','0','0','27','2.767']),</v>
      </c>
    </row>
    <row r="91" spans="1:71" s="44" customFormat="1" ht="13.5" customHeight="1">
      <c r="A91" s="97">
        <v>169732</v>
      </c>
      <c r="B91" s="61" t="s">
        <v>98</v>
      </c>
      <c r="C91" s="50" t="s">
        <v>343</v>
      </c>
      <c r="D91" s="174">
        <v>1</v>
      </c>
      <c r="E91" s="60" t="s">
        <v>70</v>
      </c>
      <c r="F91" s="97">
        <v>160</v>
      </c>
      <c r="G91" s="63">
        <v>4.54</v>
      </c>
      <c r="H91" s="56">
        <v>2.0699999999999998</v>
      </c>
      <c r="I91" s="61">
        <v>25.16</v>
      </c>
      <c r="J91" s="61">
        <v>0.5</v>
      </c>
      <c r="K91" s="56">
        <v>138</v>
      </c>
      <c r="L91" s="56">
        <v>0.4</v>
      </c>
      <c r="M91" s="70">
        <v>1.2</v>
      </c>
      <c r="N91" s="61">
        <v>1.47</v>
      </c>
      <c r="O91" s="63">
        <v>21</v>
      </c>
      <c r="P91" s="63">
        <v>76</v>
      </c>
      <c r="Q91" s="63">
        <v>38</v>
      </c>
      <c r="R91" s="63">
        <v>5</v>
      </c>
      <c r="S91" s="61">
        <v>0.65</v>
      </c>
      <c r="T91" s="56">
        <v>9.8000000000000004E-2</v>
      </c>
      <c r="U91" s="63">
        <v>0.315</v>
      </c>
      <c r="V91" s="63">
        <v>23.9</v>
      </c>
      <c r="W91" s="56">
        <v>0</v>
      </c>
      <c r="X91" s="57">
        <v>0.17</v>
      </c>
      <c r="Y91" s="57">
        <v>4</v>
      </c>
      <c r="Z91" s="57">
        <v>0</v>
      </c>
      <c r="AA91" s="63">
        <v>38</v>
      </c>
      <c r="AB91" s="63">
        <v>0</v>
      </c>
      <c r="AC91" s="63">
        <v>0.28899999999999998</v>
      </c>
      <c r="AD91" s="63">
        <v>0.13600000000000001</v>
      </c>
      <c r="AE91" s="56">
        <v>2.077</v>
      </c>
      <c r="AF91" s="56">
        <v>0.26300000000000001</v>
      </c>
      <c r="AG91" s="56">
        <v>4.5999999999999999E-2</v>
      </c>
      <c r="AH91" s="56">
        <v>0.09</v>
      </c>
      <c r="AI91" s="61">
        <v>25.7</v>
      </c>
      <c r="AJ91" s="63">
        <v>0</v>
      </c>
      <c r="AK91" s="63">
        <v>12</v>
      </c>
      <c r="AL91" s="87">
        <v>84</v>
      </c>
      <c r="AM91" s="61">
        <v>19.2</v>
      </c>
      <c r="AN91" s="67">
        <v>4.2999999999999997E-2</v>
      </c>
      <c r="AO91" s="56">
        <v>0.13800000000000001</v>
      </c>
      <c r="AP91" s="56">
        <v>0.19</v>
      </c>
      <c r="AQ91" s="57">
        <v>0.36499999999999999</v>
      </c>
      <c r="AR91" s="56">
        <v>0.13700000000000001</v>
      </c>
      <c r="AS91" s="56">
        <v>8.5999999999999993E-2</v>
      </c>
      <c r="AT91" s="63">
        <v>9.6000000000000002E-2</v>
      </c>
      <c r="AU91" s="56">
        <v>0.24</v>
      </c>
      <c r="AV91" s="56">
        <v>9.4E-2</v>
      </c>
      <c r="AW91" s="56">
        <v>0.22</v>
      </c>
      <c r="AX91" s="63">
        <v>0.192</v>
      </c>
      <c r="AY91" s="57">
        <v>0.16500000000000001</v>
      </c>
      <c r="AZ91" s="57">
        <v>0.24399999999999999</v>
      </c>
      <c r="BA91" s="61">
        <v>1.468</v>
      </c>
      <c r="BB91" s="63">
        <v>0.159</v>
      </c>
      <c r="BC91" s="56">
        <v>0.495</v>
      </c>
      <c r="BD91" s="56">
        <v>0.25700000000000001</v>
      </c>
      <c r="BE91" s="63">
        <v>29</v>
      </c>
      <c r="BF91" s="61">
        <v>0.58099999999999996</v>
      </c>
      <c r="BG91" s="44" t="str">
        <f t="shared" si="1"/>
        <v>new Food('169732','Noodles egg enriched','Side 1','1','cup','160',['4.54','2.07','25.16','0.5','138','0.4','1.2','1.47','21','76','38','5','0.65','0.098','0.315','23.9','0','0.17','4','0','38','0','0.289','0.136','2.077','0.263','0.046','0.09','25.7','0','12','84','19.2','0.043','0.138','0.19','0.365','0.137','0.086','0.096','0.24','0.094','0.22','0.192','0.165','0.244','1.468','0.159','0.495','0.257','29','0.581']),</v>
      </c>
    </row>
    <row r="92" spans="1:71" s="44" customFormat="1" ht="15" customHeight="1">
      <c r="A92" s="99">
        <v>170567</v>
      </c>
      <c r="B92" s="61" t="s">
        <v>120</v>
      </c>
      <c r="C92" s="50" t="s">
        <v>285</v>
      </c>
      <c r="D92" s="174">
        <v>1</v>
      </c>
      <c r="E92" s="60" t="s">
        <v>74</v>
      </c>
      <c r="F92" s="56">
        <v>28.35</v>
      </c>
      <c r="G92" s="56">
        <v>21.15</v>
      </c>
      <c r="H92" s="56">
        <v>49.93</v>
      </c>
      <c r="I92" s="144">
        <v>21.55</v>
      </c>
      <c r="J92" s="144">
        <v>2.97</v>
      </c>
      <c r="K92" s="117">
        <v>579</v>
      </c>
      <c r="L92" s="63">
        <v>4.3499999999999996</v>
      </c>
      <c r="M92" s="147">
        <v>12.5</v>
      </c>
      <c r="N92" s="117">
        <v>3.71</v>
      </c>
      <c r="O92" s="63">
        <v>270</v>
      </c>
      <c r="P92" s="63">
        <v>481</v>
      </c>
      <c r="Q92" s="63">
        <v>733</v>
      </c>
      <c r="R92" s="63">
        <v>1</v>
      </c>
      <c r="S92" s="56">
        <v>3.12</v>
      </c>
      <c r="T92" s="117">
        <v>1.0309999999999999</v>
      </c>
      <c r="U92" s="63">
        <v>2.1789999999999998</v>
      </c>
      <c r="V92" s="56">
        <v>4.0999999999999996</v>
      </c>
      <c r="W92" s="63">
        <v>0</v>
      </c>
      <c r="X92" s="63">
        <v>25.03</v>
      </c>
      <c r="Y92" s="63">
        <v>0</v>
      </c>
      <c r="Z92" s="117">
        <v>0</v>
      </c>
      <c r="AA92" s="117">
        <v>1</v>
      </c>
      <c r="AB92" s="63">
        <v>0</v>
      </c>
      <c r="AC92" s="63">
        <v>0.20499999999999999</v>
      </c>
      <c r="AD92" s="63">
        <v>1.1379999999999999</v>
      </c>
      <c r="AE92" s="63">
        <v>3.6179999999999999</v>
      </c>
      <c r="AF92" s="63">
        <v>0.47299999999999998</v>
      </c>
      <c r="AG92" s="63">
        <v>0.13700000000000001</v>
      </c>
      <c r="AH92" s="63">
        <v>0</v>
      </c>
      <c r="AI92" s="117">
        <v>52.1</v>
      </c>
      <c r="AJ92" s="63">
        <v>0</v>
      </c>
      <c r="AK92" s="117">
        <v>269</v>
      </c>
      <c r="AL92" s="147">
        <v>44</v>
      </c>
      <c r="AM92" s="117">
        <v>0.5</v>
      </c>
      <c r="AN92" s="67">
        <v>0.21099999999999999</v>
      </c>
      <c r="AO92" s="63">
        <v>0.1</v>
      </c>
      <c r="AP92" s="117">
        <v>0.751</v>
      </c>
      <c r="AQ92" s="117">
        <v>1.4730000000000001</v>
      </c>
      <c r="AR92" s="117">
        <v>0.56799999999999995</v>
      </c>
      <c r="AS92" s="117">
        <v>0.157</v>
      </c>
      <c r="AT92" s="117">
        <v>0.215</v>
      </c>
      <c r="AU92" s="63">
        <v>1.1319999999999999</v>
      </c>
      <c r="AV92" s="63">
        <v>0.45</v>
      </c>
      <c r="AW92" s="63">
        <v>0.85499999999999998</v>
      </c>
      <c r="AX92" s="117">
        <v>2.4649999999999999</v>
      </c>
      <c r="AY92" s="117">
        <v>0.999</v>
      </c>
      <c r="AZ92" s="117">
        <v>2.6389999999999998</v>
      </c>
      <c r="BA92" s="117">
        <v>6.2060000000000004</v>
      </c>
      <c r="BB92" s="144">
        <v>1.429</v>
      </c>
      <c r="BC92" s="56">
        <v>0.96899999999999997</v>
      </c>
      <c r="BD92" s="56">
        <v>0.91200000000000003</v>
      </c>
      <c r="BE92" s="63">
        <v>0</v>
      </c>
      <c r="BF92" s="144">
        <v>31.550999999999998</v>
      </c>
      <c r="BG92" s="44" t="str">
        <f t="shared" si="1"/>
        <v>new Food('170567','Nuts almonds','Snack','1','oz','28.35',['21.15','49.93','21.55','2.97','579','4.35','12.5','3.71','270','481','733','1','3.12','1.031','2.179','4.1','0','25.03','0','0','1','0','0.205','1.138','3.618','0.473','0.137','0','52.1','0','269','44','0.5','0.211','0.1','0.751','1.473','0.568','0.157','0.215','1.132','0.45','0.855','2.465','0.999','2.639','6.206','1.429','0.969','0.912','0','31.551']),</v>
      </c>
    </row>
    <row r="93" spans="1:71" s="44" customFormat="1" ht="15" customHeight="1">
      <c r="A93" s="99">
        <v>170569</v>
      </c>
      <c r="B93" s="61" t="s">
        <v>121</v>
      </c>
      <c r="C93" s="50" t="s">
        <v>285</v>
      </c>
      <c r="D93" s="174">
        <v>1</v>
      </c>
      <c r="E93" s="60" t="s">
        <v>74</v>
      </c>
      <c r="F93" s="56">
        <v>28.35</v>
      </c>
      <c r="G93" s="63">
        <v>14.32</v>
      </c>
      <c r="H93" s="63">
        <v>67.099999999999994</v>
      </c>
      <c r="I93" s="144">
        <v>11.74</v>
      </c>
      <c r="J93" s="144">
        <v>3.43</v>
      </c>
      <c r="K93" s="56">
        <v>659</v>
      </c>
      <c r="L93" s="56">
        <v>2.33</v>
      </c>
      <c r="M93" s="70">
        <v>7.5</v>
      </c>
      <c r="N93" s="63">
        <v>2.4300000000000002</v>
      </c>
      <c r="O93" s="56">
        <v>376</v>
      </c>
      <c r="P93" s="56">
        <v>725</v>
      </c>
      <c r="Q93" s="56">
        <v>659</v>
      </c>
      <c r="R93" s="56">
        <v>3</v>
      </c>
      <c r="S93" s="56">
        <v>4.0599999999999996</v>
      </c>
      <c r="T93" s="56">
        <v>1.7430000000000001</v>
      </c>
      <c r="U93" s="63">
        <v>1.2230000000000001</v>
      </c>
      <c r="V93" s="63">
        <v>1917</v>
      </c>
      <c r="W93" s="63">
        <v>0</v>
      </c>
      <c r="X93" s="63">
        <v>5.65</v>
      </c>
      <c r="Y93" s="63">
        <v>0</v>
      </c>
      <c r="Z93" s="56">
        <v>0</v>
      </c>
      <c r="AA93" s="63">
        <v>0</v>
      </c>
      <c r="AB93" s="63">
        <v>0.7</v>
      </c>
      <c r="AC93" s="63">
        <v>0.61699999999999999</v>
      </c>
      <c r="AD93" s="63">
        <v>3.5000000000000003E-2</v>
      </c>
      <c r="AE93" s="63">
        <v>0.29499999999999998</v>
      </c>
      <c r="AF93" s="63">
        <v>0.184</v>
      </c>
      <c r="AG93" s="63">
        <v>0.10100000000000001</v>
      </c>
      <c r="AH93" s="63">
        <v>0</v>
      </c>
      <c r="AI93" s="144">
        <v>28.8</v>
      </c>
      <c r="AJ93" s="56">
        <v>0</v>
      </c>
      <c r="AK93" s="117">
        <v>160</v>
      </c>
      <c r="AL93" s="70">
        <v>22</v>
      </c>
      <c r="AM93" s="117">
        <v>0.4</v>
      </c>
      <c r="AN93" s="67">
        <v>0.13500000000000001</v>
      </c>
      <c r="AO93" s="63">
        <v>0.36499999999999999</v>
      </c>
      <c r="AP93" s="63">
        <v>0.51800000000000002</v>
      </c>
      <c r="AQ93" s="63">
        <v>1.19</v>
      </c>
      <c r="AR93" s="63">
        <v>0.49</v>
      </c>
      <c r="AS93" s="63">
        <v>1.1240000000000001</v>
      </c>
      <c r="AT93" s="56">
        <v>0.30599999999999999</v>
      </c>
      <c r="AU93" s="63">
        <v>0.63900000000000001</v>
      </c>
      <c r="AV93" s="63">
        <v>0.41599999999999998</v>
      </c>
      <c r="AW93" s="63">
        <v>0.76</v>
      </c>
      <c r="AX93" s="117">
        <v>2.16</v>
      </c>
      <c r="AY93" s="117">
        <v>0.60899999999999999</v>
      </c>
      <c r="AZ93" s="117">
        <v>1.325</v>
      </c>
      <c r="BA93" s="63">
        <v>3.19</v>
      </c>
      <c r="BB93" s="63">
        <v>0.73299999999999998</v>
      </c>
      <c r="BC93" s="56">
        <v>0.70599999999999996</v>
      </c>
      <c r="BD93" s="56">
        <v>0.67600000000000005</v>
      </c>
      <c r="BE93" s="63">
        <v>0</v>
      </c>
      <c r="BF93" s="56">
        <v>23.879000000000001</v>
      </c>
      <c r="BG93" s="44" t="str">
        <f t="shared" si="1"/>
        <v>new Food('170569','Nuts brazilnuts dried unblanched','Snack','1','oz','28.35',['14.32','67.1','11.74','3.43','659','2.33','7.5','2.43','376','725','659','3','4.06','1.743','1.223','1917','0','5.65','0','0','0','0.7','0.617','0.035','0.295','0.184','0.101','0','28.8','0','160','22','0.4','0.135','0.365','0.518','1.19','0.49','1.124','0.306','0.639','0.416','0.76','2.16','0.609','1.325','3.19','0.733','0.706','0.676','0','23.879']),</v>
      </c>
    </row>
    <row r="94" spans="1:71" s="44" customFormat="1" ht="15" customHeight="1">
      <c r="A94" s="99">
        <v>170581</v>
      </c>
      <c r="B94" s="61" t="s">
        <v>122</v>
      </c>
      <c r="C94" s="50" t="s">
        <v>285</v>
      </c>
      <c r="D94" s="174">
        <v>1</v>
      </c>
      <c r="E94" s="60" t="s">
        <v>74</v>
      </c>
      <c r="F94" s="63">
        <v>28.35</v>
      </c>
      <c r="G94" s="56">
        <v>14.95</v>
      </c>
      <c r="H94" s="63">
        <v>0</v>
      </c>
      <c r="I94" s="117">
        <v>16.7</v>
      </c>
      <c r="J94" s="117">
        <v>2.29</v>
      </c>
      <c r="K94" s="63">
        <v>628</v>
      </c>
      <c r="L94" s="63">
        <v>4.34</v>
      </c>
      <c r="M94" s="70">
        <v>9.6999999999999993</v>
      </c>
      <c r="N94" s="63">
        <v>4.7</v>
      </c>
      <c r="O94" s="63">
        <v>163</v>
      </c>
      <c r="P94" s="63">
        <v>290</v>
      </c>
      <c r="Q94" s="63">
        <v>680</v>
      </c>
      <c r="R94" s="63">
        <v>0</v>
      </c>
      <c r="S94" s="63">
        <v>2.4500000000000002</v>
      </c>
      <c r="T94" s="63">
        <v>1.7250000000000001</v>
      </c>
      <c r="U94" s="56">
        <v>6.1749999999999998</v>
      </c>
      <c r="V94" s="56">
        <v>2.4</v>
      </c>
      <c r="W94" s="63">
        <v>0</v>
      </c>
      <c r="X94" s="63">
        <v>15.03</v>
      </c>
      <c r="Y94" s="63">
        <v>0</v>
      </c>
      <c r="Z94" s="63">
        <v>0</v>
      </c>
      <c r="AA94" s="63">
        <v>92</v>
      </c>
      <c r="AB94" s="56">
        <v>6.3</v>
      </c>
      <c r="AC94" s="56">
        <v>0.64300000000000002</v>
      </c>
      <c r="AD94" s="63">
        <v>0.113</v>
      </c>
      <c r="AE94" s="56">
        <v>1.8</v>
      </c>
      <c r="AF94" s="63">
        <v>0.91800000000000004</v>
      </c>
      <c r="AG94" s="56">
        <v>0.56299999999999994</v>
      </c>
      <c r="AH94" s="63">
        <v>0</v>
      </c>
      <c r="AI94" s="117">
        <v>45.6</v>
      </c>
      <c r="AJ94" s="63">
        <v>14.2</v>
      </c>
      <c r="AK94" s="117">
        <v>114</v>
      </c>
      <c r="AL94" s="70">
        <v>113</v>
      </c>
      <c r="AM94" s="117">
        <v>0.4</v>
      </c>
      <c r="AN94" s="67">
        <v>0.193</v>
      </c>
      <c r="AO94" s="63">
        <v>0.497</v>
      </c>
      <c r="AP94" s="63">
        <v>0.54500000000000004</v>
      </c>
      <c r="AQ94" s="63">
        <v>1.0629999999999999</v>
      </c>
      <c r="AR94" s="63">
        <v>0.42</v>
      </c>
      <c r="AS94" s="63">
        <v>0.221</v>
      </c>
      <c r="AT94" s="63">
        <v>0.27700000000000002</v>
      </c>
      <c r="AU94" s="63">
        <v>0.66300000000000003</v>
      </c>
      <c r="AV94" s="63">
        <v>0.36199999999999999</v>
      </c>
      <c r="AW94" s="63">
        <v>0.70099999999999996</v>
      </c>
      <c r="AX94" s="117">
        <v>2.2109999999999999</v>
      </c>
      <c r="AY94" s="117">
        <v>0.73</v>
      </c>
      <c r="AZ94" s="117">
        <v>1.679</v>
      </c>
      <c r="BA94" s="63">
        <v>3.71</v>
      </c>
      <c r="BB94" s="63">
        <v>0.72399999999999998</v>
      </c>
      <c r="BC94" s="63">
        <v>0.56100000000000005</v>
      </c>
      <c r="BD94" s="63">
        <v>0.73499999999999999</v>
      </c>
      <c r="BE94" s="56">
        <v>0</v>
      </c>
      <c r="BF94" s="63">
        <v>45.052</v>
      </c>
      <c r="BG94" s="44" t="str">
        <f t="shared" si="1"/>
        <v>new Food('170581','Nuts hazelnuts or filberts','Snack','1','oz','28.35',['14.95','0','16.7','2.29','628','4.34','9.7','4.7','163','290','680','0','2.45','1.725','6.175','2.4','0','15.03','0','0','92','6.3','0.643','0.113','1.8','0.918','0.563','0','45.6','14.2','114','113','0.4','0.193','0.497','0.545','1.063','0.42','0.221','0.277','0.663','0.362','0.701','2.211','0.73','1.679','3.71','0.724','0.561','0.735','0','45.052']),</v>
      </c>
    </row>
    <row r="95" spans="1:71" s="44" customFormat="1" ht="15" customHeight="1">
      <c r="A95" s="99">
        <v>170182</v>
      </c>
      <c r="B95" s="61" t="s">
        <v>116</v>
      </c>
      <c r="C95" s="50" t="s">
        <v>311</v>
      </c>
      <c r="D95" s="174">
        <v>1</v>
      </c>
      <c r="E95" s="60" t="s">
        <v>70</v>
      </c>
      <c r="F95" s="110">
        <v>109</v>
      </c>
      <c r="G95" s="63">
        <v>9.17</v>
      </c>
      <c r="H95" s="63">
        <v>71.97</v>
      </c>
      <c r="I95" s="44">
        <v>13.86</v>
      </c>
      <c r="J95" s="44">
        <v>1.49</v>
      </c>
      <c r="K95" s="45">
        <v>691</v>
      </c>
      <c r="L95" s="56">
        <v>3.97</v>
      </c>
      <c r="M95" s="86">
        <v>9.6</v>
      </c>
      <c r="N95" s="45">
        <v>2.5299999999999998</v>
      </c>
      <c r="O95" s="56">
        <v>121</v>
      </c>
      <c r="P95" s="56">
        <v>277</v>
      </c>
      <c r="Q95" s="56">
        <v>410</v>
      </c>
      <c r="R95" s="56">
        <v>0</v>
      </c>
      <c r="S95" s="56">
        <v>4.53</v>
      </c>
      <c r="T95" s="63">
        <v>1.2</v>
      </c>
      <c r="U95" s="63">
        <v>4.5</v>
      </c>
      <c r="V95" s="56">
        <v>3.8</v>
      </c>
      <c r="W95" s="56">
        <v>0</v>
      </c>
      <c r="X95" s="56">
        <v>1.4</v>
      </c>
      <c r="Y95" s="56">
        <v>0</v>
      </c>
      <c r="Z95" s="46">
        <v>9</v>
      </c>
      <c r="AA95" s="46">
        <v>17</v>
      </c>
      <c r="AB95" s="56">
        <v>1.1000000000000001</v>
      </c>
      <c r="AC95" s="56">
        <v>0.66</v>
      </c>
      <c r="AD95" s="63">
        <v>0.13</v>
      </c>
      <c r="AE95" s="56">
        <v>1.167</v>
      </c>
      <c r="AF95" s="61">
        <v>0.86299999999999999</v>
      </c>
      <c r="AG95" s="56">
        <v>0.21</v>
      </c>
      <c r="AH95" s="63">
        <v>0</v>
      </c>
      <c r="AI95" s="61">
        <v>40.5</v>
      </c>
      <c r="AJ95" s="63">
        <v>3.5</v>
      </c>
      <c r="AK95" s="44">
        <v>70</v>
      </c>
      <c r="AL95" s="86">
        <v>22</v>
      </c>
      <c r="AM95" s="45">
        <v>0.7</v>
      </c>
      <c r="AN95" s="67">
        <v>9.2999999999999999E-2</v>
      </c>
      <c r="AO95" s="63">
        <v>0.30599999999999999</v>
      </c>
      <c r="AP95" s="44">
        <v>0.33600000000000002</v>
      </c>
      <c r="AQ95" s="44">
        <v>0.59799999999999998</v>
      </c>
      <c r="AR95" s="44">
        <v>0.28699999999999998</v>
      </c>
      <c r="AS95" s="44">
        <v>0.183</v>
      </c>
      <c r="AT95" s="44">
        <v>0.152</v>
      </c>
      <c r="AU95" s="63">
        <v>0.42599999999999999</v>
      </c>
      <c r="AV95" s="63">
        <v>0.215</v>
      </c>
      <c r="AW95" s="63">
        <v>0.41099999999999998</v>
      </c>
      <c r="AX95" s="45">
        <v>1.177</v>
      </c>
      <c r="AY95" s="45">
        <v>0.39700000000000002</v>
      </c>
      <c r="AZ95" s="45">
        <v>0.92900000000000005</v>
      </c>
      <c r="BA95" s="45">
        <v>1.829</v>
      </c>
      <c r="BB95" s="45">
        <v>0.45300000000000001</v>
      </c>
      <c r="BC95" s="56">
        <v>0.36299999999999999</v>
      </c>
      <c r="BD95" s="56">
        <v>0.47399999999999998</v>
      </c>
      <c r="BE95" s="63">
        <v>0</v>
      </c>
      <c r="BF95" s="44">
        <v>40.801000000000002</v>
      </c>
      <c r="BG95" s="44" t="str">
        <f t="shared" si="1"/>
        <v>new Food('170182','Nuts pecans','Ingred','1','cup','109',['9.17','71.97','13.86','1.49','691','3.97','9.6','2.53','121','277','410','0','4.53','1.2','4.5','3.8','0','1.4','0','9','17','1.1','0.66','0.13','1.167','0.863','0.21','0','40.5','3.5','70','22','0.7','0.093','0.306','0.336','0.598','0.287','0.183','0.152','0.426','0.215','0.411','1.177','0.397','0.929','1.829','0.453','0.363','0.474','0','40.801']),</v>
      </c>
    </row>
    <row r="96" spans="1:71" s="44" customFormat="1" ht="14.25" customHeight="1">
      <c r="A96" s="99">
        <v>170185</v>
      </c>
      <c r="B96" s="57" t="s">
        <v>304</v>
      </c>
      <c r="C96" s="84" t="s">
        <v>285</v>
      </c>
      <c r="D96" s="174">
        <v>1</v>
      </c>
      <c r="E96" s="60" t="s">
        <v>70</v>
      </c>
      <c r="F96" s="63">
        <v>123</v>
      </c>
      <c r="G96" s="63">
        <v>21.05</v>
      </c>
      <c r="H96" s="63">
        <v>45.82</v>
      </c>
      <c r="I96" s="117">
        <v>28.28</v>
      </c>
      <c r="J96" s="117">
        <v>3</v>
      </c>
      <c r="K96" s="56">
        <v>572</v>
      </c>
      <c r="L96" s="56">
        <v>7.74</v>
      </c>
      <c r="M96" s="63">
        <v>10.3</v>
      </c>
      <c r="N96" s="63">
        <v>4.03</v>
      </c>
      <c r="O96" s="56">
        <v>109</v>
      </c>
      <c r="P96" s="63">
        <v>469</v>
      </c>
      <c r="Q96" s="63">
        <v>1007</v>
      </c>
      <c r="R96" s="63">
        <v>6</v>
      </c>
      <c r="S96" s="56">
        <v>2.34</v>
      </c>
      <c r="T96" s="56">
        <v>1.2929999999999999</v>
      </c>
      <c r="U96" s="56">
        <v>1.2430000000000001</v>
      </c>
      <c r="V96" s="56">
        <v>10</v>
      </c>
      <c r="W96" s="56">
        <v>0</v>
      </c>
      <c r="X96" s="56">
        <v>2.17</v>
      </c>
      <c r="Y96" s="56">
        <v>0</v>
      </c>
      <c r="Z96" s="56">
        <v>0</v>
      </c>
      <c r="AA96" s="56">
        <v>1160</v>
      </c>
      <c r="AB96" s="56">
        <v>3</v>
      </c>
      <c r="AC96" s="56">
        <v>0.69499999999999995</v>
      </c>
      <c r="AD96" s="56">
        <v>0.23400000000000001</v>
      </c>
      <c r="AE96" s="56">
        <v>1.373</v>
      </c>
      <c r="AF96" s="56">
        <v>0.51300000000000001</v>
      </c>
      <c r="AG96" s="56">
        <v>1.1220000000000001</v>
      </c>
      <c r="AH96" s="56">
        <v>0</v>
      </c>
      <c r="AI96" s="63">
        <v>71.400000000000006</v>
      </c>
      <c r="AJ96" s="63">
        <v>13.2</v>
      </c>
      <c r="AK96" s="144">
        <v>107</v>
      </c>
      <c r="AL96" s="63">
        <v>51</v>
      </c>
      <c r="AM96" s="117">
        <v>0.8</v>
      </c>
      <c r="AN96" s="63">
        <v>0.26200000000000001</v>
      </c>
      <c r="AO96" s="56">
        <v>0.71399999999999997</v>
      </c>
      <c r="AP96" s="56">
        <v>0.95699999999999996</v>
      </c>
      <c r="AQ96" s="56">
        <v>1.675</v>
      </c>
      <c r="AR96" s="56">
        <v>1.1890000000000001</v>
      </c>
      <c r="AS96" s="56">
        <v>0.375</v>
      </c>
      <c r="AT96" s="56">
        <v>0.30499999999999999</v>
      </c>
      <c r="AU96" s="56">
        <v>1.1399999999999999</v>
      </c>
      <c r="AV96" s="56">
        <v>0.53100000000000003</v>
      </c>
      <c r="AW96" s="56">
        <v>1.3049999999999999</v>
      </c>
      <c r="AX96" s="144">
        <v>2.2280000000000002</v>
      </c>
      <c r="AY96" s="144">
        <v>1.016</v>
      </c>
      <c r="AZ96" s="144">
        <v>1.968</v>
      </c>
      <c r="BA96" s="56">
        <v>4.49</v>
      </c>
      <c r="BB96" s="56">
        <v>1.054</v>
      </c>
      <c r="BC96" s="56">
        <v>0.98</v>
      </c>
      <c r="BD96" s="56">
        <v>1.34</v>
      </c>
      <c r="BE96" s="56">
        <v>0</v>
      </c>
      <c r="BF96" s="56">
        <v>24.533999999999999</v>
      </c>
      <c r="BG96" s="44" t="str">
        <f t="shared" si="1"/>
        <v>new Food('170185','Nuts pistachio','Snack','1','cup','123',['21.05','45.82','28.28','3','572','7.74','10.3','4.03','109','469','1007','6','2.34','1.293','1.243','10','0','2.17','0','0','1160','3','0.695','0.234','1.373','0.513','1.122','0','71.4','13.2','107','51','0.8','0.262','0.714','0.957','1.675','1.189','0.375','0.305','1.14','0.531','1.305','2.228','1.016','1.968','4.49','1.054','0.98','1.34','0','24.534']),</v>
      </c>
    </row>
    <row r="97" spans="1:71" s="44" customFormat="1" ht="15" customHeight="1">
      <c r="A97" s="97">
        <v>170187</v>
      </c>
      <c r="B97" s="57" t="s">
        <v>119</v>
      </c>
      <c r="C97" s="50" t="s">
        <v>285</v>
      </c>
      <c r="D97" s="174">
        <v>1</v>
      </c>
      <c r="E97" s="60" t="s">
        <v>74</v>
      </c>
      <c r="F97" s="110">
        <v>28.35</v>
      </c>
      <c r="G97" s="63">
        <v>15.23</v>
      </c>
      <c r="H97" s="56">
        <v>65.209999999999994</v>
      </c>
      <c r="I97" s="44">
        <v>13.71</v>
      </c>
      <c r="J97" s="44">
        <v>1.78</v>
      </c>
      <c r="K97" s="44">
        <v>654</v>
      </c>
      <c r="L97" s="56">
        <v>2.61</v>
      </c>
      <c r="M97" s="45">
        <v>6.7</v>
      </c>
      <c r="N97" s="44">
        <v>2.91</v>
      </c>
      <c r="O97" s="63">
        <v>158</v>
      </c>
      <c r="P97" s="56">
        <v>346</v>
      </c>
      <c r="Q97" s="56">
        <v>441</v>
      </c>
      <c r="R97" s="63">
        <v>2</v>
      </c>
      <c r="S97" s="56">
        <v>3.09</v>
      </c>
      <c r="T97" s="45">
        <v>1.5860000000000001</v>
      </c>
      <c r="U97" s="63">
        <v>3.4140000000000001</v>
      </c>
      <c r="V97" s="63">
        <v>4.9000000000000004</v>
      </c>
      <c r="W97" s="56">
        <v>0</v>
      </c>
      <c r="X97" s="56">
        <v>0.7</v>
      </c>
      <c r="Y97" s="56">
        <v>0</v>
      </c>
      <c r="Z97" s="46">
        <v>0</v>
      </c>
      <c r="AA97" s="46">
        <v>9</v>
      </c>
      <c r="AB97" s="56">
        <v>1.3</v>
      </c>
      <c r="AC97" s="56">
        <v>0.34100000000000003</v>
      </c>
      <c r="AD97" s="56">
        <v>0.15</v>
      </c>
      <c r="AE97" s="63">
        <v>1.125</v>
      </c>
      <c r="AF97" s="56">
        <v>0.56999999999999995</v>
      </c>
      <c r="AG97" s="56">
        <v>0.53700000000000003</v>
      </c>
      <c r="AH97" s="56">
        <v>0</v>
      </c>
      <c r="AI97" s="45">
        <v>39.200000000000003</v>
      </c>
      <c r="AJ97" s="56">
        <v>2.7</v>
      </c>
      <c r="AK97" s="44">
        <v>98</v>
      </c>
      <c r="AL97" s="44">
        <v>98</v>
      </c>
      <c r="AM97" s="44">
        <v>0.3</v>
      </c>
      <c r="AN97" s="63">
        <v>0.17</v>
      </c>
      <c r="AO97" s="56">
        <v>0.59599999999999997</v>
      </c>
      <c r="AP97" s="45">
        <v>0.625</v>
      </c>
      <c r="AQ97" s="45">
        <v>1.17</v>
      </c>
      <c r="AR97" s="45">
        <v>0.42399999999999999</v>
      </c>
      <c r="AS97" s="45">
        <v>0.23599999999999999</v>
      </c>
      <c r="AT97" s="44">
        <v>0.20799999999999999</v>
      </c>
      <c r="AU97" s="63">
        <v>0.71099999999999997</v>
      </c>
      <c r="AV97" s="56">
        <v>0.40600000000000003</v>
      </c>
      <c r="AW97" s="56">
        <v>0.753</v>
      </c>
      <c r="AX97" s="44">
        <v>2.278</v>
      </c>
      <c r="AY97" s="45">
        <v>0.69599999999999995</v>
      </c>
      <c r="AZ97" s="45">
        <v>1.829</v>
      </c>
      <c r="BA97" s="45">
        <v>2.8159999999999998</v>
      </c>
      <c r="BB97" s="44">
        <v>0.81599999999999995</v>
      </c>
      <c r="BC97" s="56">
        <v>0.70599999999999996</v>
      </c>
      <c r="BD97" s="56">
        <v>0.93400000000000005</v>
      </c>
      <c r="BE97" s="56">
        <v>0</v>
      </c>
      <c r="BF97" s="44">
        <v>8.9329999999999998</v>
      </c>
      <c r="BG97" s="44" t="str">
        <f t="shared" si="1"/>
        <v>new Food('170187','Nuts walnuts english','Snack','1','oz','28.35',['15.23','65.21','13.71','1.78','654','2.61','6.7','2.91','158','346','441','2','3.09','1.586','3.414','4.9','0','0.7','0','0','9','1.3','0.341','0.15','1.125','0.57','0.537','0','39.2','2.7','98','98','0.3','0.17','0.596','0.625','1.17','0.424','0.236','0.208','0.711','0.406','0.753','2.278','0.696','1.829','2.816','0.816','0.706','0.934','0','8.933']),</v>
      </c>
    </row>
    <row r="98" spans="1:71" s="44" customFormat="1" ht="15" customHeight="1">
      <c r="A98" s="97">
        <v>173904</v>
      </c>
      <c r="B98" s="57" t="s">
        <v>282</v>
      </c>
      <c r="C98" s="50" t="s">
        <v>285</v>
      </c>
      <c r="D98" s="173">
        <v>27</v>
      </c>
      <c r="E98" s="58" t="s">
        <v>411</v>
      </c>
      <c r="F98" s="56">
        <v>27</v>
      </c>
      <c r="G98" s="142">
        <v>13.15</v>
      </c>
      <c r="H98" s="141">
        <v>6.52</v>
      </c>
      <c r="I98" s="141">
        <v>67.7</v>
      </c>
      <c r="J98" s="141">
        <v>1.77</v>
      </c>
      <c r="K98" s="141">
        <v>379</v>
      </c>
      <c r="L98" s="141">
        <v>0.99</v>
      </c>
      <c r="M98" s="141">
        <v>10.1</v>
      </c>
      <c r="N98" s="142">
        <v>4.25</v>
      </c>
      <c r="O98" s="142">
        <v>138</v>
      </c>
      <c r="P98" s="56">
        <v>410</v>
      </c>
      <c r="Q98" s="142">
        <v>362</v>
      </c>
      <c r="R98" s="142">
        <v>6</v>
      </c>
      <c r="S98" s="142">
        <v>3.64</v>
      </c>
      <c r="T98" s="56">
        <v>0.39100000000000001</v>
      </c>
      <c r="U98" s="142">
        <v>3.63</v>
      </c>
      <c r="V98" s="141">
        <v>28.9</v>
      </c>
      <c r="W98" s="142">
        <v>0</v>
      </c>
      <c r="X98" s="142">
        <v>0.42</v>
      </c>
      <c r="Y98" s="142">
        <v>0</v>
      </c>
      <c r="Z98" s="56">
        <v>0</v>
      </c>
      <c r="AA98" s="142">
        <v>180</v>
      </c>
      <c r="AB98" s="142">
        <v>0</v>
      </c>
      <c r="AC98" s="141">
        <v>0.46</v>
      </c>
      <c r="AD98" s="141">
        <v>0.155</v>
      </c>
      <c r="AE98" s="142">
        <v>1.125</v>
      </c>
      <c r="AF98" s="63">
        <v>1.1200000000000001</v>
      </c>
      <c r="AG98" s="56">
        <v>0.1</v>
      </c>
      <c r="AH98" s="56">
        <v>0</v>
      </c>
      <c r="AI98" s="63">
        <v>40.4</v>
      </c>
      <c r="AJ98" s="141">
        <v>2</v>
      </c>
      <c r="AK98" s="142">
        <v>52</v>
      </c>
      <c r="AL98" s="141">
        <v>32</v>
      </c>
      <c r="AM98" s="141">
        <v>0</v>
      </c>
      <c r="AN98" s="141">
        <v>0.182</v>
      </c>
      <c r="AO98" s="142">
        <v>0.38200000000000001</v>
      </c>
      <c r="AP98" s="142">
        <v>0.503</v>
      </c>
      <c r="AQ98" s="142">
        <v>0.98</v>
      </c>
      <c r="AR98" s="142">
        <v>0.63700000000000001</v>
      </c>
      <c r="AS98" s="142">
        <v>0.20699999999999999</v>
      </c>
      <c r="AT98" s="142">
        <v>0.45500000000000002</v>
      </c>
      <c r="AU98" s="56">
        <v>6.9000000000000006E-2</v>
      </c>
      <c r="AV98" s="142">
        <v>0.39500000000000002</v>
      </c>
      <c r="AW98" s="142">
        <v>0.68799999999999994</v>
      </c>
      <c r="AX98" s="142">
        <v>0.85</v>
      </c>
      <c r="AY98" s="142">
        <v>0.56299999999999994</v>
      </c>
      <c r="AZ98" s="59">
        <v>1.2170000000000001</v>
      </c>
      <c r="BA98" s="142">
        <v>2.83</v>
      </c>
      <c r="BB98" s="142">
        <v>0.64200000000000002</v>
      </c>
      <c r="BC98" s="142">
        <v>0.45100000000000001</v>
      </c>
      <c r="BD98" s="142">
        <v>0.70499999999999996</v>
      </c>
      <c r="BE98" s="142">
        <v>0</v>
      </c>
      <c r="BF98" s="142">
        <v>1.98</v>
      </c>
      <c r="BG98" s="44" t="str">
        <f t="shared" si="1"/>
        <v>new Food('173904','Oatmeal','Snack','27','gm','27',['13.15','6.52','67.7','1.77','379','0.99','10.1','4.25','138','410','362','6','3.64','0.391','3.63','28.9','0','0.42','0','0','180','0','0.46','0.155','1.125','1.12','0.1','0','40.4','2','52','32','0','0.182','0.382','0.503','0.98','0.637','0.207','0.455','0.069','0.395','0.688','0.85','0.563','1.217','2.83','0.642','0.451','0.705','0','1.98']),</v>
      </c>
    </row>
    <row r="99" spans="1:71" s="44" customFormat="1" ht="15" customHeight="1">
      <c r="A99" s="97">
        <v>2710089</v>
      </c>
      <c r="B99" s="61" t="s">
        <v>370</v>
      </c>
      <c r="C99" s="50" t="s">
        <v>311</v>
      </c>
      <c r="D99" s="174">
        <v>1</v>
      </c>
      <c r="E99" s="60" t="s">
        <v>424</v>
      </c>
      <c r="F99" s="97"/>
      <c r="G99" s="56">
        <v>1.03</v>
      </c>
      <c r="H99" s="63">
        <v>15.32</v>
      </c>
      <c r="I99">
        <v>3.84</v>
      </c>
      <c r="J99">
        <v>0</v>
      </c>
      <c r="K99">
        <v>145</v>
      </c>
      <c r="L99" s="63">
        <v>0.54</v>
      </c>
      <c r="M99" s="24">
        <v>3.3</v>
      </c>
      <c r="N99">
        <v>0.49</v>
      </c>
      <c r="O99" s="56">
        <v>11</v>
      </c>
      <c r="P99" s="56">
        <v>4</v>
      </c>
      <c r="Q99" s="56">
        <v>42</v>
      </c>
      <c r="R99" s="56">
        <v>1556</v>
      </c>
      <c r="S99" s="63">
        <v>0.04</v>
      </c>
      <c r="T99" s="63">
        <v>0.12</v>
      </c>
      <c r="U99" s="63">
        <v>0</v>
      </c>
      <c r="V99" s="63">
        <v>0.9</v>
      </c>
      <c r="W99" s="63">
        <v>0</v>
      </c>
      <c r="X99" s="63">
        <v>3.81</v>
      </c>
      <c r="Y99" s="63">
        <v>0</v>
      </c>
      <c r="Z99" s="63">
        <v>9</v>
      </c>
      <c r="AA99" s="32">
        <v>510</v>
      </c>
      <c r="AB99" s="63">
        <v>0</v>
      </c>
      <c r="AC99" s="63">
        <v>2.1000000000000001E-2</v>
      </c>
      <c r="AD99" s="63">
        <v>0.01</v>
      </c>
      <c r="AE99" s="56">
        <v>0.24</v>
      </c>
      <c r="AF99" s="63">
        <v>0</v>
      </c>
      <c r="AG99" s="63">
        <v>0.03</v>
      </c>
      <c r="AH99" s="56">
        <v>0</v>
      </c>
      <c r="AI99" s="56">
        <v>14.2</v>
      </c>
      <c r="AJ99" s="56">
        <v>1.4</v>
      </c>
      <c r="AK99" s="56">
        <v>3</v>
      </c>
      <c r="AL99" s="56">
        <v>3</v>
      </c>
      <c r="AM99" s="56">
        <v>0</v>
      </c>
      <c r="AN99" s="56">
        <v>0</v>
      </c>
      <c r="AO99" s="63">
        <v>0</v>
      </c>
      <c r="AP99" s="63">
        <v>0</v>
      </c>
      <c r="AQ99" s="63">
        <v>0</v>
      </c>
      <c r="AR99" s="63">
        <v>0</v>
      </c>
      <c r="AS99" s="63">
        <v>0</v>
      </c>
      <c r="AT99" s="63">
        <v>0</v>
      </c>
      <c r="AU99" s="63">
        <v>0</v>
      </c>
      <c r="AV99" s="63">
        <v>0</v>
      </c>
      <c r="AW99" s="63">
        <v>0</v>
      </c>
      <c r="AX99" s="63">
        <v>0</v>
      </c>
      <c r="AY99" s="63">
        <v>0</v>
      </c>
      <c r="AZ99" s="63">
        <v>0</v>
      </c>
      <c r="BA99" s="63">
        <v>0</v>
      </c>
      <c r="BB99" s="63">
        <v>0</v>
      </c>
      <c r="BC99" s="56">
        <v>0</v>
      </c>
      <c r="BD99" s="56">
        <v>0</v>
      </c>
      <c r="BE99" s="56">
        <v>0</v>
      </c>
      <c r="BF99" s="56">
        <v>11.31</v>
      </c>
      <c r="BG99" s="44" t="str">
        <f t="shared" si="1"/>
        <v>new Food('2710089','Olives green','Ingred','1','olive','',['1.03','15.32','3.84','0','145','0.54','3.3','0.49','11','4','42','1556','0.04','0.12','0','0.9','0','3.81','0','9','510','0','0.021','0.01','0.24','0','0.03','0','14.2','1.4','3','3','0','0','0','0','0','0','0','0','0','0','0','0','0','0','0','0','0','0','0','11.31']),</v>
      </c>
    </row>
    <row r="100" spans="1:71" s="44" customFormat="1" ht="15" customHeight="1">
      <c r="A100" s="98">
        <v>790646</v>
      </c>
      <c r="B100" s="44" t="s">
        <v>305</v>
      </c>
      <c r="C100" s="50" t="s">
        <v>311</v>
      </c>
      <c r="D100" s="174">
        <v>1</v>
      </c>
      <c r="E100" s="60" t="s">
        <v>405</v>
      </c>
      <c r="F100" s="110">
        <v>140</v>
      </c>
      <c r="G100" s="62">
        <v>0.83</v>
      </c>
      <c r="H100" s="46">
        <v>0.05</v>
      </c>
      <c r="I100" s="46">
        <v>8.61</v>
      </c>
      <c r="J100" s="62">
        <v>0</v>
      </c>
      <c r="K100" s="46">
        <v>38</v>
      </c>
      <c r="L100" s="46">
        <v>5.82</v>
      </c>
      <c r="M100" s="46">
        <v>1.9</v>
      </c>
      <c r="N100" s="46">
        <v>0.28000000000000003</v>
      </c>
      <c r="O100" s="46">
        <v>9</v>
      </c>
      <c r="P100" s="46">
        <v>34</v>
      </c>
      <c r="Q100" s="46">
        <v>182</v>
      </c>
      <c r="R100" s="46">
        <v>1</v>
      </c>
      <c r="S100" s="46">
        <v>0.2</v>
      </c>
      <c r="T100" s="46">
        <v>3.5000000000000003E-2</v>
      </c>
      <c r="U100" s="46">
        <v>0</v>
      </c>
      <c r="V100" s="46">
        <v>0</v>
      </c>
      <c r="W100" s="46">
        <v>0</v>
      </c>
      <c r="X100" s="46">
        <v>0.02</v>
      </c>
      <c r="Y100" s="46">
        <v>0</v>
      </c>
      <c r="Z100" s="46">
        <v>0</v>
      </c>
      <c r="AA100" s="46">
        <v>4</v>
      </c>
      <c r="AB100" s="46">
        <v>8.1999999999999993</v>
      </c>
      <c r="AC100" s="46">
        <v>4.5999999999999999E-2</v>
      </c>
      <c r="AD100" s="46">
        <v>2.7E-2</v>
      </c>
      <c r="AE100" s="46">
        <v>0.11600000000000001</v>
      </c>
      <c r="AF100" s="46">
        <v>0</v>
      </c>
      <c r="AG100" s="46">
        <v>0.12</v>
      </c>
      <c r="AH100" s="46">
        <v>0</v>
      </c>
      <c r="AI100" s="46">
        <v>6.1</v>
      </c>
      <c r="AJ100" s="46">
        <v>0.4</v>
      </c>
      <c r="AK100" s="46">
        <v>19</v>
      </c>
      <c r="AL100" s="46">
        <v>19</v>
      </c>
      <c r="AM100" s="46">
        <v>0</v>
      </c>
      <c r="AN100" s="46">
        <v>0</v>
      </c>
      <c r="AO100" s="46">
        <v>0</v>
      </c>
      <c r="AP100" s="46">
        <v>0</v>
      </c>
      <c r="AQ100" s="46">
        <v>0</v>
      </c>
      <c r="AR100" s="46">
        <v>0</v>
      </c>
      <c r="AS100" s="46">
        <v>0</v>
      </c>
      <c r="AT100" s="46">
        <v>0</v>
      </c>
      <c r="AU100" s="46">
        <v>0</v>
      </c>
      <c r="AV100" s="46">
        <v>0</v>
      </c>
      <c r="AW100" s="46">
        <v>0</v>
      </c>
      <c r="AX100" s="46">
        <v>0</v>
      </c>
      <c r="AY100" s="46">
        <v>0</v>
      </c>
      <c r="AZ100" s="46">
        <v>0</v>
      </c>
      <c r="BA100" s="46">
        <v>0</v>
      </c>
      <c r="BB100" s="46">
        <v>0</v>
      </c>
      <c r="BC100" s="46">
        <v>0</v>
      </c>
      <c r="BD100" s="46">
        <v>0</v>
      </c>
      <c r="BE100" s="46">
        <v>0</v>
      </c>
      <c r="BF100" s="46">
        <v>1.2999999999999999E-2</v>
      </c>
      <c r="BG100" s="44" t="str">
        <f t="shared" si="1"/>
        <v>new Food('790646','Onions yellow','Ingred','1','med','140',['0.83','0.05','8.61','0','38','5.82','1.9','0.28','9','34','182','1','0.2','0.035','0','0','0','0.02','0','0','4','8.2','0.046','0.027','0.116','0','0.12','0','6.1','0.4','19','19','0','0','0','0','0','0','0','0','0','0','0','0','0','0','0','0','0','0','0','0.013']),</v>
      </c>
    </row>
    <row r="101" spans="1:71" s="44" customFormat="1" ht="15" customHeight="1">
      <c r="A101" s="99">
        <v>169118</v>
      </c>
      <c r="B101" s="61" t="s">
        <v>79</v>
      </c>
      <c r="C101" s="60" t="s">
        <v>87</v>
      </c>
      <c r="D101" s="173">
        <v>1</v>
      </c>
      <c r="E101" s="58" t="s">
        <v>405</v>
      </c>
      <c r="F101" s="56">
        <v>178</v>
      </c>
      <c r="G101" s="117">
        <v>3.5999999999999997E-2</v>
      </c>
      <c r="H101" s="144">
        <v>0.14000000000000001</v>
      </c>
      <c r="I101" s="63">
        <v>15.23</v>
      </c>
      <c r="J101" s="63">
        <v>0.32</v>
      </c>
      <c r="K101" s="63">
        <v>57</v>
      </c>
      <c r="L101" s="117">
        <v>9.75</v>
      </c>
      <c r="M101" s="56">
        <v>3.1</v>
      </c>
      <c r="N101" s="144">
        <v>0.18</v>
      </c>
      <c r="O101" s="144">
        <v>7</v>
      </c>
      <c r="P101" s="117">
        <v>12</v>
      </c>
      <c r="Q101" s="117">
        <v>116</v>
      </c>
      <c r="R101" s="144">
        <v>1</v>
      </c>
      <c r="S101" s="117">
        <v>0.1</v>
      </c>
      <c r="T101" s="63">
        <v>8.2000000000000003E-2</v>
      </c>
      <c r="U101" s="144">
        <v>4.8000000000000001E-2</v>
      </c>
      <c r="V101" s="144">
        <v>0.1</v>
      </c>
      <c r="W101" s="117">
        <v>0</v>
      </c>
      <c r="X101" s="144">
        <v>0.12</v>
      </c>
      <c r="Y101" s="144">
        <v>0</v>
      </c>
      <c r="Z101" s="56">
        <v>2</v>
      </c>
      <c r="AA101" s="144">
        <v>44</v>
      </c>
      <c r="AB101" s="144">
        <v>4.3</v>
      </c>
      <c r="AC101" s="144">
        <v>1.2E-2</v>
      </c>
      <c r="AD101" s="117">
        <v>2.5999999999999999E-2</v>
      </c>
      <c r="AE101" s="117">
        <v>0.161</v>
      </c>
      <c r="AF101" s="117">
        <v>4.9000000000000002E-2</v>
      </c>
      <c r="AG101" s="117">
        <v>2.9000000000000001E-2</v>
      </c>
      <c r="AH101" s="144">
        <v>0</v>
      </c>
      <c r="AI101" s="56">
        <v>5.0999999999999996</v>
      </c>
      <c r="AJ101" s="144">
        <v>4.4000000000000004</v>
      </c>
      <c r="AK101" s="63">
        <v>9</v>
      </c>
      <c r="AL101" s="56">
        <v>7</v>
      </c>
      <c r="AM101" s="56">
        <v>0.2</v>
      </c>
      <c r="AN101" s="144">
        <v>2E-3</v>
      </c>
      <c r="AO101" s="117">
        <v>1.0999999999999999E-2</v>
      </c>
      <c r="AP101" s="117">
        <v>1.0999999999999999E-2</v>
      </c>
      <c r="AQ101" s="117">
        <v>1.9E-2</v>
      </c>
      <c r="AR101" s="117">
        <v>1.7000000000000001E-2</v>
      </c>
      <c r="AS101" s="117">
        <v>2E-3</v>
      </c>
      <c r="AT101" s="63">
        <v>2E-3</v>
      </c>
      <c r="AU101" s="117">
        <v>1.0999999999999999E-2</v>
      </c>
      <c r="AV101" s="117">
        <v>2E-3</v>
      </c>
      <c r="AW101" s="117">
        <v>1.7000000000000001E-2</v>
      </c>
      <c r="AX101" s="63">
        <v>0.01</v>
      </c>
      <c r="AY101" s="63">
        <v>1.4E-2</v>
      </c>
      <c r="AZ101" s="56">
        <v>0.105</v>
      </c>
      <c r="BA101" s="56">
        <v>0.03</v>
      </c>
      <c r="BB101" s="56">
        <v>1.2999999999999999E-2</v>
      </c>
      <c r="BC101" s="144">
        <v>2.1000000000000001E-2</v>
      </c>
      <c r="BD101" s="144">
        <v>1.4999999999999999E-2</v>
      </c>
      <c r="BE101" s="56">
        <v>0</v>
      </c>
      <c r="BF101" s="63">
        <v>8.4000000000000005E-2</v>
      </c>
      <c r="BG101" s="44" t="str">
        <f t="shared" si="1"/>
        <v>new Food('169118','Pears raw','Fruit','1','med','178',['0.036','0.14','15.23','0.32','57','9.75','3.1','0.18','7','12','116','1','0.1','0.082','0.048','0.1','0','0.12','0','2','44','4.3','0.012','0.026','0.161','0.049','0.029','0','5.1','4.4','9','7','0.2','0.002','0.011','0.011','0.019','0.017','0.002','0.002','0.011','0.002','0.017','0.01','0.014','0.105','0.03','0.013','0.021','0.015','0','0.084']),</v>
      </c>
    </row>
    <row r="102" spans="1:71" s="44" customFormat="1" ht="15" customHeight="1">
      <c r="A102" s="99">
        <v>170017</v>
      </c>
      <c r="B102" s="61" t="s">
        <v>107</v>
      </c>
      <c r="C102" s="60" t="s">
        <v>88</v>
      </c>
      <c r="D102" s="174">
        <v>0.5</v>
      </c>
      <c r="E102" s="60" t="s">
        <v>70</v>
      </c>
      <c r="F102" s="56">
        <v>80</v>
      </c>
      <c r="G102" s="117">
        <v>5.15</v>
      </c>
      <c r="H102" s="144">
        <v>0.27</v>
      </c>
      <c r="I102" s="63">
        <v>14.26</v>
      </c>
      <c r="J102" s="56">
        <v>0.8</v>
      </c>
      <c r="K102" s="144">
        <v>78</v>
      </c>
      <c r="L102" s="144">
        <v>4.4000000000000004</v>
      </c>
      <c r="M102" s="144">
        <v>4.5</v>
      </c>
      <c r="N102" s="144">
        <v>1.52</v>
      </c>
      <c r="O102" s="144">
        <v>22</v>
      </c>
      <c r="P102" s="144">
        <v>77</v>
      </c>
      <c r="Q102" s="144">
        <v>110</v>
      </c>
      <c r="R102" s="144">
        <v>72</v>
      </c>
      <c r="S102" s="144">
        <v>0.67</v>
      </c>
      <c r="T102" s="63">
        <v>0.105</v>
      </c>
      <c r="U102" s="117">
        <v>0.27900000000000003</v>
      </c>
      <c r="V102" s="117">
        <v>0.17199999999999999</v>
      </c>
      <c r="W102" s="117">
        <v>0</v>
      </c>
      <c r="X102" s="117">
        <v>0.03</v>
      </c>
      <c r="Y102" s="117">
        <v>0</v>
      </c>
      <c r="Z102" s="63">
        <v>0</v>
      </c>
      <c r="AA102" s="117">
        <v>2400</v>
      </c>
      <c r="AB102" s="117">
        <v>9.9</v>
      </c>
      <c r="AC102" s="117">
        <v>0.28299999999999997</v>
      </c>
      <c r="AD102" s="117">
        <v>0.1</v>
      </c>
      <c r="AE102" s="117">
        <v>1.48</v>
      </c>
      <c r="AF102" s="117">
        <v>0.14199999999999999</v>
      </c>
      <c r="AG102" s="117">
        <v>0.113</v>
      </c>
      <c r="AH102" s="144">
        <v>0</v>
      </c>
      <c r="AI102" s="56">
        <v>27.5</v>
      </c>
      <c r="AJ102" s="144">
        <v>24</v>
      </c>
      <c r="AK102" s="63">
        <v>24</v>
      </c>
      <c r="AL102" s="117">
        <v>59</v>
      </c>
      <c r="AM102" s="56">
        <v>0.1</v>
      </c>
      <c r="AN102" s="117">
        <v>3.5000000000000003E-2</v>
      </c>
      <c r="AO102" s="144">
        <v>0.193</v>
      </c>
      <c r="AP102" s="144">
        <v>0.185</v>
      </c>
      <c r="AQ102" s="144">
        <v>0.307</v>
      </c>
      <c r="AR102" s="144">
        <v>0.30199999999999999</v>
      </c>
      <c r="AS102" s="144">
        <v>7.8E-2</v>
      </c>
      <c r="AT102" s="56">
        <v>0.03</v>
      </c>
      <c r="AU102" s="144">
        <v>0.19</v>
      </c>
      <c r="AV102" s="144">
        <v>0.108</v>
      </c>
      <c r="AW102" s="144">
        <v>0.223</v>
      </c>
      <c r="AX102" s="56">
        <v>0.40699999999999997</v>
      </c>
      <c r="AY102" s="56">
        <v>0.22800000000000001</v>
      </c>
      <c r="AZ102" s="56">
        <v>0.47099999999999997</v>
      </c>
      <c r="BA102" s="144">
        <v>0.70499999999999996</v>
      </c>
      <c r="BB102" s="144">
        <v>0.17499999999999999</v>
      </c>
      <c r="BC102" s="144">
        <v>0.16500000000000001</v>
      </c>
      <c r="BD102" s="144">
        <v>0.17199999999999999</v>
      </c>
      <c r="BE102" s="63">
        <v>0</v>
      </c>
      <c r="BF102" s="144">
        <v>2.4E-2</v>
      </c>
      <c r="BG102" s="44" t="str">
        <f t="shared" si="1"/>
        <v>new Food('170017','Peas green frozen ','Veg','0.5','cup','80',['5.15','0.27','14.26','0.8','78','4.4','4.5','1.52','22','77','110','72','0.67','0.105','0.279','0.172','0','0.03','0','0','2400','9.9','0.283','0.1','1.48','0.142','0.113','0','27.5','24','24','59','0.1','0.035','0.193','0.185','0.307','0.302','0.078','0.03','0.19','0.108','0.223','0.407','0.228','0.471','0.705','0.175','0.165','0.172','0','0.024']),</v>
      </c>
    </row>
    <row r="103" spans="1:71" s="44" customFormat="1" ht="15" customHeight="1">
      <c r="A103" s="98">
        <v>168576</v>
      </c>
      <c r="B103" s="44" t="s">
        <v>325</v>
      </c>
      <c r="C103" s="50" t="s">
        <v>311</v>
      </c>
      <c r="D103" s="173">
        <v>1</v>
      </c>
      <c r="E103" s="58" t="s">
        <v>70</v>
      </c>
      <c r="F103" s="98">
        <v>90</v>
      </c>
      <c r="G103" s="62">
        <v>0.91</v>
      </c>
      <c r="H103" s="46">
        <v>0.37</v>
      </c>
      <c r="I103" s="46">
        <v>6.5</v>
      </c>
      <c r="J103" s="44">
        <v>0</v>
      </c>
      <c r="K103" s="46">
        <v>29</v>
      </c>
      <c r="L103" s="46">
        <v>4.12</v>
      </c>
      <c r="M103" s="46">
        <v>2.8</v>
      </c>
      <c r="N103" s="46">
        <v>0.25</v>
      </c>
      <c r="O103" s="46">
        <v>15</v>
      </c>
      <c r="P103" s="46">
        <v>26</v>
      </c>
      <c r="Q103" s="46">
        <v>248</v>
      </c>
      <c r="R103" s="46">
        <v>3</v>
      </c>
      <c r="S103" s="46">
        <v>0.14000000000000001</v>
      </c>
      <c r="T103" s="46">
        <v>0.05</v>
      </c>
      <c r="U103" s="46">
        <v>0</v>
      </c>
      <c r="V103" s="46">
        <v>0.4</v>
      </c>
      <c r="W103" s="46">
        <v>0</v>
      </c>
      <c r="X103" s="46">
        <v>3.58</v>
      </c>
      <c r="Y103" s="46">
        <v>0</v>
      </c>
      <c r="Z103" s="46">
        <v>105</v>
      </c>
      <c r="AA103" s="46">
        <v>861</v>
      </c>
      <c r="AB103" s="46">
        <v>118.6</v>
      </c>
      <c r="AC103" s="46">
        <v>0.04</v>
      </c>
      <c r="AD103" s="46">
        <v>7.0000000000000007E-2</v>
      </c>
      <c r="AE103" s="46">
        <v>1.28</v>
      </c>
      <c r="AF103" s="46">
        <v>0</v>
      </c>
      <c r="AG103" s="46">
        <v>0.41899999999999998</v>
      </c>
      <c r="AH103" s="46">
        <v>0</v>
      </c>
      <c r="AI103" s="46">
        <v>7.5</v>
      </c>
      <c r="AJ103" s="46">
        <v>18.5</v>
      </c>
      <c r="AK103" s="46">
        <v>27</v>
      </c>
      <c r="AL103" s="46">
        <v>27</v>
      </c>
      <c r="AM103" s="46">
        <v>0</v>
      </c>
      <c r="AN103" s="46">
        <v>0</v>
      </c>
      <c r="AO103" s="46">
        <v>0</v>
      </c>
      <c r="AP103" s="46">
        <v>0</v>
      </c>
      <c r="AQ103" s="46">
        <v>0</v>
      </c>
      <c r="AR103" s="46">
        <v>0</v>
      </c>
      <c r="AS103" s="46">
        <v>0</v>
      </c>
      <c r="AT103" s="46">
        <v>0</v>
      </c>
      <c r="AU103" s="46">
        <v>0</v>
      </c>
      <c r="AV103" s="46">
        <v>0</v>
      </c>
      <c r="AW103" s="46">
        <v>0</v>
      </c>
      <c r="AX103" s="46">
        <v>0</v>
      </c>
      <c r="AY103" s="46">
        <v>0</v>
      </c>
      <c r="AZ103" s="46">
        <v>0</v>
      </c>
      <c r="BA103" s="46">
        <v>0</v>
      </c>
      <c r="BB103" s="46">
        <v>0</v>
      </c>
      <c r="BC103" s="46">
        <v>0</v>
      </c>
      <c r="BD103" s="46">
        <v>0</v>
      </c>
      <c r="BE103" s="46">
        <v>0</v>
      </c>
      <c r="BF103" s="46">
        <v>0.03</v>
      </c>
      <c r="BG103" s="44" t="str">
        <f t="shared" si="1"/>
        <v>new Food('168576','Peppers, jalapeno, raw','Ingred','1','cup','90',['0.91','0.37','6.5','0','29','4.12','2.8','0.25','15','26','248','3','0.14','0.05','0','0.4','0','3.58','0','105','861','118.6','0.04','0.07','1.28','0','0.419','0','7.5','18.5','27','27','0','0','0','0','0','0','0','0','0','0','0','0','0','0','0','0','0','0','0','0.03']),</v>
      </c>
      <c r="BH103" s="116"/>
      <c r="BI103" s="116"/>
      <c r="BJ103" s="116"/>
      <c r="BK103" s="116"/>
      <c r="BL103" s="116"/>
      <c r="BM103" s="116"/>
      <c r="BN103" s="116"/>
      <c r="BO103" s="116"/>
      <c r="BP103" s="116"/>
      <c r="BQ103" s="116"/>
    </row>
    <row r="104" spans="1:71" s="44" customFormat="1" ht="15" customHeight="1">
      <c r="A104" s="101">
        <v>168250</v>
      </c>
      <c r="B104" s="45" t="s">
        <v>101</v>
      </c>
      <c r="C104" s="50" t="s">
        <v>207</v>
      </c>
      <c r="D104" s="177">
        <v>3</v>
      </c>
      <c r="E104" s="84" t="s">
        <v>74</v>
      </c>
      <c r="F104" s="144">
        <v>85</v>
      </c>
      <c r="G104" s="144">
        <v>26.17</v>
      </c>
      <c r="H104" s="144">
        <v>3.51</v>
      </c>
      <c r="I104" s="117">
        <v>0</v>
      </c>
      <c r="J104" s="117">
        <v>1.21</v>
      </c>
      <c r="K104" s="117">
        <v>143</v>
      </c>
      <c r="L104" s="117">
        <v>0</v>
      </c>
      <c r="M104" s="117">
        <v>0</v>
      </c>
      <c r="N104" s="117">
        <v>1.1499999999999999</v>
      </c>
      <c r="O104" s="117">
        <v>29</v>
      </c>
      <c r="P104" s="144">
        <v>267</v>
      </c>
      <c r="Q104" s="117">
        <v>421</v>
      </c>
      <c r="R104" s="117">
        <v>0.56999999999999995</v>
      </c>
      <c r="S104" s="117">
        <v>2.42</v>
      </c>
      <c r="T104" s="117">
        <v>0.111</v>
      </c>
      <c r="U104" s="117">
        <v>1.2999999999999999E-2</v>
      </c>
      <c r="V104" s="144">
        <v>38.200000000000003</v>
      </c>
      <c r="W104" s="117">
        <v>0</v>
      </c>
      <c r="X104" s="117">
        <v>0</v>
      </c>
      <c r="Y104" s="117">
        <v>10</v>
      </c>
      <c r="Z104" s="117">
        <v>0</v>
      </c>
      <c r="AA104" s="117">
        <v>0</v>
      </c>
      <c r="AB104" s="117">
        <v>0</v>
      </c>
      <c r="AC104" s="117">
        <v>0.95</v>
      </c>
      <c r="AD104" s="117">
        <v>0.38700000000000001</v>
      </c>
      <c r="AE104" s="144">
        <v>7.4320000000000004</v>
      </c>
      <c r="AF104" s="117">
        <v>1.012</v>
      </c>
      <c r="AG104" s="117">
        <v>0.73899999999999999</v>
      </c>
      <c r="AH104" s="117">
        <v>0.56999999999999995</v>
      </c>
      <c r="AI104" s="144">
        <v>88.9</v>
      </c>
      <c r="AJ104" s="117">
        <v>0</v>
      </c>
      <c r="AK104" s="144">
        <v>6</v>
      </c>
      <c r="AL104" s="117">
        <v>0</v>
      </c>
      <c r="AM104" s="144">
        <v>4.3</v>
      </c>
      <c r="AN104" s="117">
        <v>0.27500000000000002</v>
      </c>
      <c r="AO104" s="117">
        <v>1.175</v>
      </c>
      <c r="AP104" s="117">
        <v>1.288</v>
      </c>
      <c r="AQ104" s="117">
        <v>2.2290000000000001</v>
      </c>
      <c r="AR104" s="117">
        <v>2.427</v>
      </c>
      <c r="AS104" s="117">
        <v>0.72099999999999997</v>
      </c>
      <c r="AT104" s="144">
        <v>0.30199999999999999</v>
      </c>
      <c r="AU104" s="117">
        <v>1.1000000000000001</v>
      </c>
      <c r="AV104" s="117">
        <v>0.996</v>
      </c>
      <c r="AW104" s="117">
        <v>1.367</v>
      </c>
      <c r="AX104" s="144">
        <v>1.7410000000000001</v>
      </c>
      <c r="AY104" s="117">
        <v>1.536</v>
      </c>
      <c r="AZ104" s="117">
        <v>2.56</v>
      </c>
      <c r="BA104" s="117">
        <v>4.1769999999999996</v>
      </c>
      <c r="BB104" s="144">
        <v>1.179</v>
      </c>
      <c r="BC104" s="144">
        <v>1.0580000000000001</v>
      </c>
      <c r="BD104" s="144">
        <v>1.131</v>
      </c>
      <c r="BE104" s="144">
        <v>73</v>
      </c>
      <c r="BF104" s="144">
        <v>1.3340000000000001</v>
      </c>
      <c r="BG104" s="44" t="str">
        <f t="shared" si="1"/>
        <v>new Food('168250','Pork tenderloin','Entre','3','oz','85',['26.17','3.51','0','1.21','143','0','0','1.15','29','267','421','0.57','2.42','0.111','0.013','38.2','0','0','10','0','0','0','0.95','0.387','7.432','1.012','0.739','0.57','88.9','0','6','0','4.3','0.275','1.175','1.288','2.229','2.427','0.721','0.302','1.1','0.996','1.367','1.741','1.536','2.56','4.177','1.179','1.058','1.131','73','1.334']),</v>
      </c>
    </row>
    <row r="105" spans="1:71" s="44" customFormat="1" ht="15" customHeight="1">
      <c r="A105" s="101">
        <v>170440</v>
      </c>
      <c r="B105" s="44" t="s">
        <v>108</v>
      </c>
      <c r="C105" s="50" t="s">
        <v>279</v>
      </c>
      <c r="D105" s="177">
        <v>1</v>
      </c>
      <c r="E105" s="84" t="s">
        <v>414</v>
      </c>
      <c r="F105" s="144">
        <v>300</v>
      </c>
      <c r="G105" s="144">
        <v>1.71</v>
      </c>
      <c r="H105" s="117">
        <v>0.1</v>
      </c>
      <c r="I105" s="144">
        <v>20.010000000000002</v>
      </c>
      <c r="J105" s="117">
        <v>0.72</v>
      </c>
      <c r="K105" s="144">
        <v>86</v>
      </c>
      <c r="L105" s="144">
        <v>0.89</v>
      </c>
      <c r="M105" s="144">
        <v>1.8</v>
      </c>
      <c r="N105" s="144">
        <v>0.31</v>
      </c>
      <c r="O105" s="117">
        <v>20</v>
      </c>
      <c r="P105" s="144">
        <v>40</v>
      </c>
      <c r="Q105" s="144">
        <v>328</v>
      </c>
      <c r="R105" s="144">
        <v>5</v>
      </c>
      <c r="S105" s="144">
        <v>0.27</v>
      </c>
      <c r="T105" s="144">
        <v>0.16700000000000001</v>
      </c>
      <c r="U105" s="144">
        <v>0.14000000000000001</v>
      </c>
      <c r="V105" s="117">
        <v>0.3</v>
      </c>
      <c r="W105" s="117">
        <v>0</v>
      </c>
      <c r="X105" s="117">
        <v>0.01</v>
      </c>
      <c r="Y105" s="117">
        <v>0</v>
      </c>
      <c r="Z105" s="117">
        <v>0</v>
      </c>
      <c r="AA105" s="144">
        <v>9</v>
      </c>
      <c r="AB105" s="144">
        <v>7.4</v>
      </c>
      <c r="AC105" s="144">
        <v>9.8000000000000004E-2</v>
      </c>
      <c r="AD105" s="117">
        <v>1.9E-2</v>
      </c>
      <c r="AE105" s="144">
        <v>1.3120000000000001</v>
      </c>
      <c r="AF105" s="144">
        <v>0.50800000000000001</v>
      </c>
      <c r="AG105" s="144">
        <v>0.26900000000000002</v>
      </c>
      <c r="AH105" s="144">
        <v>0</v>
      </c>
      <c r="AI105" s="117">
        <v>13.2</v>
      </c>
      <c r="AJ105" s="144">
        <v>2.2000000000000002</v>
      </c>
      <c r="AK105" s="117">
        <v>8</v>
      </c>
      <c r="AL105" s="144">
        <v>9</v>
      </c>
      <c r="AM105" s="117">
        <v>0.2</v>
      </c>
      <c r="AN105" s="144">
        <v>2.7E-2</v>
      </c>
      <c r="AO105" s="144">
        <v>6.2E-2</v>
      </c>
      <c r="AP105" s="144">
        <v>0.02</v>
      </c>
      <c r="AQ105" s="144">
        <v>0.10299999999999999</v>
      </c>
      <c r="AR105" s="144">
        <v>0.104</v>
      </c>
      <c r="AS105" s="144">
        <v>0.27</v>
      </c>
      <c r="AT105" s="117">
        <v>2.1999999999999999E-2</v>
      </c>
      <c r="AU105" s="144">
        <v>7.5999999999999998E-2</v>
      </c>
      <c r="AV105" s="144">
        <v>6.4000000000000001E-2</v>
      </c>
      <c r="AW105" s="144">
        <v>8.5999999999999993E-2</v>
      </c>
      <c r="AX105" s="117">
        <v>7.9000000000000001E-2</v>
      </c>
      <c r="AY105" s="117">
        <v>5.2999999999999999E-2</v>
      </c>
      <c r="AZ105" s="144">
        <v>0.41899999999999998</v>
      </c>
      <c r="BA105" s="144">
        <v>0.20699999999999999</v>
      </c>
      <c r="BB105" s="144">
        <v>5.0999999999999997E-2</v>
      </c>
      <c r="BC105" s="117">
        <v>6.2E-2</v>
      </c>
      <c r="BD105" s="117">
        <v>7.4999999999999997E-2</v>
      </c>
      <c r="BE105" s="144">
        <v>0</v>
      </c>
      <c r="BF105" s="117">
        <v>0</v>
      </c>
      <c r="BG105" s="44" t="str">
        <f t="shared" si="1"/>
        <v>new Food('170440','Potatoes without skins','Grain','1','lg','300',['1.71','0.1','20.01','0.72','86','0.89','1.8','0.31','20','40','328','5','0.27','0.167','0.14','0.3','0','0.01','0','0','9','7.4','0.098','0.019','1.312','0.508','0.269','0','13.2','2.2','8','9','0.2','0.027','0.062','0.02','0.103','0.104','0.27','0.022','0.076','0.064','0.086','0.079','0.053','0.419','0.207','0.051','0.062','0.075','0','0']),</v>
      </c>
    </row>
    <row r="106" spans="1:71" s="44" customFormat="1" ht="15" customHeight="1">
      <c r="A106" s="98">
        <v>168917</v>
      </c>
      <c r="B106" s="44" t="s">
        <v>192</v>
      </c>
      <c r="C106" s="50" t="s">
        <v>311</v>
      </c>
      <c r="D106" s="171">
        <v>100</v>
      </c>
      <c r="E106" s="50" t="s">
        <v>411</v>
      </c>
      <c r="F106" s="98">
        <v>100</v>
      </c>
      <c r="G106" s="62">
        <v>4.4000000000000004</v>
      </c>
      <c r="H106" s="46">
        <v>1.92</v>
      </c>
      <c r="I106" s="62">
        <v>21.3</v>
      </c>
      <c r="J106" s="62">
        <v>0.76</v>
      </c>
      <c r="K106" s="46">
        <v>120</v>
      </c>
      <c r="L106" s="46">
        <v>0.87</v>
      </c>
      <c r="M106" s="62">
        <v>2.8</v>
      </c>
      <c r="N106" s="46">
        <v>1.49</v>
      </c>
      <c r="O106" s="46">
        <v>64</v>
      </c>
      <c r="P106" s="46">
        <v>152</v>
      </c>
      <c r="Q106" s="46">
        <v>172</v>
      </c>
      <c r="R106" s="46">
        <v>7</v>
      </c>
      <c r="S106" s="46">
        <v>1.0900000000000001</v>
      </c>
      <c r="T106" s="46">
        <v>0.192</v>
      </c>
      <c r="U106" s="46">
        <v>0.63100000000000001</v>
      </c>
      <c r="V106" s="46">
        <v>2.8</v>
      </c>
      <c r="W106" s="46">
        <v>0</v>
      </c>
      <c r="X106" s="46">
        <v>0</v>
      </c>
      <c r="Y106" s="46">
        <v>0</v>
      </c>
      <c r="Z106" s="46">
        <v>0</v>
      </c>
      <c r="AA106" s="46">
        <v>53</v>
      </c>
      <c r="AB106" s="44">
        <v>0</v>
      </c>
      <c r="AC106" s="46">
        <v>0.107</v>
      </c>
      <c r="AD106" s="46">
        <v>0.11</v>
      </c>
      <c r="AE106" s="62">
        <v>0.41199999999999998</v>
      </c>
      <c r="AF106" s="46">
        <v>0</v>
      </c>
      <c r="AG106" s="46">
        <v>0.123</v>
      </c>
      <c r="AH106" s="44">
        <v>0</v>
      </c>
      <c r="AI106" s="46">
        <v>23</v>
      </c>
      <c r="AJ106" s="46">
        <v>0</v>
      </c>
      <c r="AK106" s="46">
        <v>17</v>
      </c>
      <c r="AL106" s="62">
        <v>42</v>
      </c>
      <c r="AM106" s="46">
        <v>0</v>
      </c>
      <c r="AN106" s="46">
        <v>5.1999999999999998E-2</v>
      </c>
      <c r="AO106" s="46">
        <v>0.13100000000000001</v>
      </c>
      <c r="AP106" s="46">
        <v>0.157</v>
      </c>
      <c r="AQ106" s="46">
        <v>0.26100000000000001</v>
      </c>
      <c r="AR106" s="46">
        <v>0.23899999999999999</v>
      </c>
      <c r="AS106" s="46">
        <v>9.6000000000000002E-2</v>
      </c>
      <c r="AT106" s="46">
        <v>6.3E-2</v>
      </c>
      <c r="AU106" s="46">
        <v>0.185</v>
      </c>
      <c r="AV106" s="46">
        <v>8.3000000000000004E-2</v>
      </c>
      <c r="AW106" s="46">
        <v>0.185</v>
      </c>
      <c r="AX106" s="62">
        <v>0.34</v>
      </c>
      <c r="AY106" s="62">
        <v>0</v>
      </c>
      <c r="AZ106" s="46">
        <v>0.35299999999999998</v>
      </c>
      <c r="BA106" s="46">
        <v>0.57999999999999996</v>
      </c>
      <c r="BB106" s="46">
        <v>0.216</v>
      </c>
      <c r="BC106" s="46">
        <v>0.24</v>
      </c>
      <c r="BD106" s="46">
        <v>0.17599999999999999</v>
      </c>
      <c r="BE106" s="46">
        <v>0</v>
      </c>
      <c r="BF106" s="46">
        <v>0.23100000000000001</v>
      </c>
      <c r="BG106" s="44" t="str">
        <f t="shared" si="1"/>
        <v>new Food('168917','Quinoa cooked','Ingred','100','gm','100',['4.4','1.92','21.3','0.76','120','0.87','2.8','1.49','64','152','172','7','1.09','0.192','0.631','2.8','0','0','0','0','53','0','0.107','0.11','0.412','0','0.123','0','23','0','17','42','0','0.052','0.131','0.157','0.261','0.239','0.096','0.063','0.185','0.083','0.185','0.34','0','0.353','0.58','0.216','0.24','0.176','0','0.231']),</v>
      </c>
    </row>
    <row r="107" spans="1:71" s="44" customFormat="1" ht="15" customHeight="1">
      <c r="A107" s="99">
        <v>167755</v>
      </c>
      <c r="B107" s="61" t="s">
        <v>81</v>
      </c>
      <c r="C107" s="60" t="s">
        <v>87</v>
      </c>
      <c r="D107" s="174">
        <v>1</v>
      </c>
      <c r="E107" s="60" t="s">
        <v>70</v>
      </c>
      <c r="F107" s="63">
        <v>123</v>
      </c>
      <c r="G107" s="56">
        <v>1.2</v>
      </c>
      <c r="H107" s="56">
        <v>0.65</v>
      </c>
      <c r="I107" s="63">
        <v>11.94</v>
      </c>
      <c r="J107" s="63">
        <v>0.46</v>
      </c>
      <c r="K107" s="56">
        <v>52</v>
      </c>
      <c r="L107" s="56">
        <v>4.42</v>
      </c>
      <c r="M107" s="56">
        <v>6.5</v>
      </c>
      <c r="N107" s="56">
        <v>0.69</v>
      </c>
      <c r="O107" s="56">
        <v>22</v>
      </c>
      <c r="P107" s="56">
        <v>29</v>
      </c>
      <c r="Q107" s="56">
        <v>151</v>
      </c>
      <c r="R107" s="56">
        <v>1</v>
      </c>
      <c r="S107" s="56">
        <v>0.42</v>
      </c>
      <c r="T107" s="63">
        <v>0.09</v>
      </c>
      <c r="U107" s="56">
        <v>0.67</v>
      </c>
      <c r="V107" s="56">
        <v>0.2</v>
      </c>
      <c r="W107" s="56">
        <v>0</v>
      </c>
      <c r="X107" s="56">
        <v>0.87</v>
      </c>
      <c r="Y107" s="56">
        <v>0</v>
      </c>
      <c r="Z107" s="63">
        <v>0</v>
      </c>
      <c r="AA107" s="63">
        <v>136</v>
      </c>
      <c r="AB107" s="56">
        <v>26.2</v>
      </c>
      <c r="AC107" s="56">
        <v>3.2000000000000001E-2</v>
      </c>
      <c r="AD107" s="56">
        <v>3.7999999999999999E-2</v>
      </c>
      <c r="AE107" s="56">
        <v>0.59799999999999998</v>
      </c>
      <c r="AF107" s="56">
        <v>0.32900000000000001</v>
      </c>
      <c r="AG107" s="56">
        <v>5.5E-2</v>
      </c>
      <c r="AH107" s="63">
        <v>0</v>
      </c>
      <c r="AI107" s="63">
        <v>12.3</v>
      </c>
      <c r="AJ107" s="56">
        <v>7.8</v>
      </c>
      <c r="AK107" s="56">
        <v>25</v>
      </c>
      <c r="AL107" s="56">
        <v>21</v>
      </c>
      <c r="AM107" s="63">
        <v>0.8</v>
      </c>
      <c r="AN107" s="56">
        <v>0</v>
      </c>
      <c r="AO107" s="56">
        <v>0</v>
      </c>
      <c r="AP107" s="63">
        <v>0</v>
      </c>
      <c r="AQ107" s="63">
        <v>0</v>
      </c>
      <c r="AR107" s="63">
        <v>0</v>
      </c>
      <c r="AS107" s="63">
        <v>0</v>
      </c>
      <c r="AT107" s="56">
        <v>0</v>
      </c>
      <c r="AU107" s="56">
        <v>0</v>
      </c>
      <c r="AV107" s="56">
        <v>0</v>
      </c>
      <c r="AW107" s="56">
        <v>0</v>
      </c>
      <c r="AX107" s="56">
        <v>0</v>
      </c>
      <c r="AY107" s="63">
        <v>0</v>
      </c>
      <c r="AZ107" s="63">
        <v>0</v>
      </c>
      <c r="BA107" s="63">
        <v>0</v>
      </c>
      <c r="BB107" s="63">
        <v>0</v>
      </c>
      <c r="BC107" s="63">
        <v>0</v>
      </c>
      <c r="BD107" s="63">
        <v>0</v>
      </c>
      <c r="BE107" s="56">
        <v>0</v>
      </c>
      <c r="BF107" s="56">
        <v>6.4000000000000001E-2</v>
      </c>
      <c r="BG107" s="44" t="str">
        <f t="shared" si="1"/>
        <v>new Food('167755','Raspberries raw','Fruit','1','cup','123',['1.2','0.65','11.94','0.46','52','4.42','6.5','0.69','22','29','151','1','0.42','0.09','0.67','0.2','0','0.87','0','0','136','26.2','0.032','0.038','0.598','0.329','0.055','0','12.3','7.8','25','21','0.8','0','0','0','0','0','0','0','0','0','0','0','0','0','0','0','0','0','0','0.064']),</v>
      </c>
    </row>
    <row r="108" spans="1:71" s="44" customFormat="1" ht="15" customHeight="1">
      <c r="A108" s="99">
        <v>168763</v>
      </c>
      <c r="B108" s="61" t="s">
        <v>401</v>
      </c>
      <c r="C108" s="60" t="s">
        <v>285</v>
      </c>
      <c r="D108" s="174">
        <v>2</v>
      </c>
      <c r="E108" s="60" t="s">
        <v>425</v>
      </c>
      <c r="F108" s="63">
        <v>17</v>
      </c>
      <c r="G108" s="117">
        <v>20.48</v>
      </c>
      <c r="H108" s="117">
        <v>30.53</v>
      </c>
      <c r="I108" s="117">
        <v>110.72</v>
      </c>
      <c r="J108" s="117">
        <v>2.2799999999999998</v>
      </c>
      <c r="K108" s="117">
        <v>1030</v>
      </c>
      <c r="L108" s="144">
        <v>94.24</v>
      </c>
      <c r="M108" s="144">
        <v>3.6</v>
      </c>
      <c r="N108" s="144">
        <v>1.21</v>
      </c>
      <c r="O108" s="144">
        <v>62</v>
      </c>
      <c r="P108" s="144">
        <v>322</v>
      </c>
      <c r="Q108" s="144">
        <v>682</v>
      </c>
      <c r="R108" s="144">
        <v>357</v>
      </c>
      <c r="S108" s="144">
        <v>1.28</v>
      </c>
      <c r="T108" s="144">
        <v>0.24</v>
      </c>
      <c r="U108" s="144">
        <v>0</v>
      </c>
      <c r="V108" s="144">
        <v>2.8</v>
      </c>
      <c r="W108" s="144">
        <v>34</v>
      </c>
      <c r="X108" s="144">
        <v>0.15</v>
      </c>
      <c r="Y108" s="144">
        <v>0</v>
      </c>
      <c r="Z108" s="117">
        <v>0</v>
      </c>
      <c r="AA108" s="144">
        <v>4</v>
      </c>
      <c r="AB108" s="117">
        <v>0.3</v>
      </c>
      <c r="AC108" s="144">
        <v>0.32</v>
      </c>
      <c r="AD108" s="144">
        <v>0.22</v>
      </c>
      <c r="AE108" s="117">
        <v>4.49</v>
      </c>
      <c r="AF108" s="144">
        <v>0.62</v>
      </c>
      <c r="AG108" s="117">
        <v>0.2</v>
      </c>
      <c r="AH108" s="144">
        <v>0.52</v>
      </c>
      <c r="AI108" s="144">
        <v>70.8</v>
      </c>
      <c r="AJ108" s="144">
        <v>2</v>
      </c>
      <c r="AK108" s="117">
        <v>78</v>
      </c>
      <c r="AL108" s="144">
        <v>0</v>
      </c>
      <c r="AM108" s="144">
        <v>0</v>
      </c>
      <c r="AN108" s="144">
        <v>0</v>
      </c>
      <c r="AO108" s="144">
        <v>0</v>
      </c>
      <c r="AP108" s="117">
        <v>0</v>
      </c>
      <c r="AQ108" s="117">
        <v>0</v>
      </c>
      <c r="AR108" s="117">
        <v>0</v>
      </c>
      <c r="AS108" s="117">
        <v>0</v>
      </c>
      <c r="AT108" s="117">
        <v>0</v>
      </c>
      <c r="AU108" s="144">
        <v>0</v>
      </c>
      <c r="AV108" s="144">
        <v>0</v>
      </c>
      <c r="AW108" s="144">
        <v>0</v>
      </c>
      <c r="AX108" s="117">
        <v>0</v>
      </c>
      <c r="AY108" s="63">
        <v>0</v>
      </c>
      <c r="AZ108" s="144">
        <v>0</v>
      </c>
      <c r="BA108" s="56">
        <v>0</v>
      </c>
      <c r="BB108" s="56">
        <v>0</v>
      </c>
      <c r="BC108" s="144">
        <v>0</v>
      </c>
      <c r="BD108" s="144">
        <v>0</v>
      </c>
      <c r="BE108" s="144">
        <v>12</v>
      </c>
      <c r="BF108" s="117">
        <v>13.1</v>
      </c>
      <c r="BG108" s="44" t="str">
        <f t="shared" si="1"/>
        <v>new Food('168763','REESES Peanut Butter Cups','Snack','2','cups','17',['20.48','30.53','110.72','2.28','1030','94.24','3.6','1.21','62','322','682','357','1.28','0.24','0','2.8','34','0.15','0','0','4','0.3','0.32','0.22','4.49','0.62','0.2','0.52','70.8','2','78','0','0','0','0','0','0','0','0','0','0','0','0','0','0','0','0','0','0','0','12','13.1']),</v>
      </c>
    </row>
    <row r="109" spans="1:71" s="44" customFormat="1" ht="15" customHeight="1">
      <c r="A109" s="103">
        <v>169704</v>
      </c>
      <c r="B109" s="90" t="s">
        <v>257</v>
      </c>
      <c r="C109" s="50" t="s">
        <v>279</v>
      </c>
      <c r="D109" s="181">
        <v>1</v>
      </c>
      <c r="E109" s="91" t="s">
        <v>70</v>
      </c>
      <c r="F109" s="59">
        <v>202</v>
      </c>
      <c r="G109" s="117">
        <v>2.74</v>
      </c>
      <c r="H109" s="144">
        <v>0.97</v>
      </c>
      <c r="I109" s="117">
        <v>25.58</v>
      </c>
      <c r="J109" s="144">
        <v>0.44</v>
      </c>
      <c r="K109" s="59">
        <v>123</v>
      </c>
      <c r="L109" s="117">
        <v>0.24</v>
      </c>
      <c r="M109" s="59">
        <v>1</v>
      </c>
      <c r="N109" s="144">
        <v>0.56000000000000005</v>
      </c>
      <c r="O109" s="144">
        <v>39</v>
      </c>
      <c r="P109" s="117">
        <v>103</v>
      </c>
      <c r="Q109" s="117">
        <v>86</v>
      </c>
      <c r="R109" s="117">
        <v>4</v>
      </c>
      <c r="S109" s="117">
        <v>0.71</v>
      </c>
      <c r="T109" s="59">
        <v>0.106</v>
      </c>
      <c r="U109" s="117">
        <v>0.97399999999999998</v>
      </c>
      <c r="V109" s="144">
        <v>5.8</v>
      </c>
      <c r="W109" s="144">
        <v>0</v>
      </c>
      <c r="X109" s="144">
        <v>0.17</v>
      </c>
      <c r="Y109" s="144">
        <v>0</v>
      </c>
      <c r="Z109" s="59">
        <v>0</v>
      </c>
      <c r="AA109" s="117">
        <v>0</v>
      </c>
      <c r="AB109" s="117">
        <v>0</v>
      </c>
      <c r="AC109" s="117">
        <v>0.17799999999999999</v>
      </c>
      <c r="AD109" s="144">
        <v>6.9000000000000006E-2</v>
      </c>
      <c r="AE109" s="117">
        <v>2.5609999999999999</v>
      </c>
      <c r="AF109" s="144">
        <v>0.38</v>
      </c>
      <c r="AG109" s="117">
        <v>0.123</v>
      </c>
      <c r="AH109" s="144">
        <v>0</v>
      </c>
      <c r="AI109" s="59">
        <v>9.1999999999999993</v>
      </c>
      <c r="AJ109" s="144">
        <v>0.2</v>
      </c>
      <c r="AK109" s="117">
        <v>3</v>
      </c>
      <c r="AL109" s="59">
        <v>9</v>
      </c>
      <c r="AM109" s="144">
        <v>0.5</v>
      </c>
      <c r="AN109" s="144">
        <v>3.3000000000000002E-2</v>
      </c>
      <c r="AO109" s="144">
        <v>9.5000000000000001E-2</v>
      </c>
      <c r="AP109" s="117">
        <v>0.109</v>
      </c>
      <c r="AQ109" s="144">
        <v>0.214</v>
      </c>
      <c r="AR109" s="144">
        <v>9.9000000000000005E-2</v>
      </c>
      <c r="AS109" s="144">
        <v>5.8000000000000003E-2</v>
      </c>
      <c r="AT109" s="59">
        <v>3.1E-2</v>
      </c>
      <c r="AU109" s="144">
        <v>0.13300000000000001</v>
      </c>
      <c r="AV109" s="144">
        <v>9.7000000000000003E-2</v>
      </c>
      <c r="AW109" s="144">
        <v>0.214</v>
      </c>
      <c r="AX109" s="59">
        <v>0.19600000000000001</v>
      </c>
      <c r="AY109" s="59">
        <v>0.151</v>
      </c>
      <c r="AZ109" s="59">
        <v>0.24199999999999999</v>
      </c>
      <c r="BA109" s="59">
        <v>0.52600000000000002</v>
      </c>
      <c r="BB109" s="59">
        <v>0.127</v>
      </c>
      <c r="BC109" s="144">
        <v>0.127</v>
      </c>
      <c r="BD109" s="144">
        <v>0.13400000000000001</v>
      </c>
      <c r="BE109" s="59">
        <v>0</v>
      </c>
      <c r="BF109" s="59">
        <v>0.36899999999999999</v>
      </c>
      <c r="BG109" s="44" t="str">
        <f t="shared" si="1"/>
        <v>new Food('169704','Rice brown long grain','Grain','1','cup','202',['2.74','0.97','25.58','0.44','123','0.24','1','0.56','39','103','86','4','0.71','0.106','0.974','5.8','0','0.17','0','0','0','0','0.178','0.069','2.561','0.38','0.123','0','9.2','0.2','3','9','0.5','0.033','0.095','0.109','0.214','0.099','0.058','0.031','0.133','0.097','0.214','0.196','0.151','0.242','0.526','0.127','0.127','0.134','0','0.369']),</v>
      </c>
    </row>
    <row r="110" spans="1:71" s="44" customFormat="1" ht="15" customHeight="1">
      <c r="A110" s="103">
        <v>168878</v>
      </c>
      <c r="B110" s="90" t="s">
        <v>256</v>
      </c>
      <c r="C110" s="50" t="s">
        <v>279</v>
      </c>
      <c r="D110" s="181">
        <v>1</v>
      </c>
      <c r="E110" s="91" t="s">
        <v>70</v>
      </c>
      <c r="F110" s="141">
        <v>158</v>
      </c>
      <c r="G110" s="144">
        <v>2.69</v>
      </c>
      <c r="H110" s="144">
        <v>0.28000000000000003</v>
      </c>
      <c r="I110" s="117">
        <v>28.17</v>
      </c>
      <c r="J110" s="144">
        <v>0.41</v>
      </c>
      <c r="K110" s="144">
        <v>0</v>
      </c>
      <c r="L110" s="144">
        <v>0.02</v>
      </c>
      <c r="M110" s="117">
        <v>0.4</v>
      </c>
      <c r="N110" s="144">
        <v>1.2</v>
      </c>
      <c r="O110" s="144">
        <v>12</v>
      </c>
      <c r="P110" s="144">
        <v>43</v>
      </c>
      <c r="Q110" s="144">
        <v>35</v>
      </c>
      <c r="R110" s="144">
        <v>1</v>
      </c>
      <c r="S110" s="144">
        <v>0.49</v>
      </c>
      <c r="T110" s="144">
        <v>6.9000000000000006E-2</v>
      </c>
      <c r="U110" s="117">
        <v>0.47199999999999998</v>
      </c>
      <c r="V110" s="117">
        <v>7.5</v>
      </c>
      <c r="W110" s="144">
        <v>0</v>
      </c>
      <c r="X110" s="117">
        <v>4.0000000000000001E-3</v>
      </c>
      <c r="Y110" s="144">
        <v>0</v>
      </c>
      <c r="Z110" s="144">
        <v>0</v>
      </c>
      <c r="AA110" s="144">
        <v>0</v>
      </c>
      <c r="AB110" s="144">
        <v>0</v>
      </c>
      <c r="AC110" s="144">
        <v>0.16300000000000001</v>
      </c>
      <c r="AD110" s="144">
        <v>1.2999999999999999E-2</v>
      </c>
      <c r="AE110" s="144">
        <v>1.476</v>
      </c>
      <c r="AF110" s="144">
        <v>0.39</v>
      </c>
      <c r="AG110" s="144">
        <v>9.2999999999999999E-2</v>
      </c>
      <c r="AH110" s="144">
        <v>0</v>
      </c>
      <c r="AI110" s="144">
        <v>2.1</v>
      </c>
      <c r="AJ110" s="144">
        <v>0</v>
      </c>
      <c r="AK110" s="117">
        <v>10</v>
      </c>
      <c r="AL110" s="144">
        <v>97</v>
      </c>
      <c r="AM110" s="144">
        <v>0.3</v>
      </c>
      <c r="AN110" s="117">
        <v>3.1E-2</v>
      </c>
      <c r="AO110" s="144">
        <v>9.6000000000000002E-2</v>
      </c>
      <c r="AP110" s="117">
        <v>0.11600000000000001</v>
      </c>
      <c r="AQ110" s="144">
        <v>0.222</v>
      </c>
      <c r="AR110" s="144">
        <v>9.7000000000000003E-2</v>
      </c>
      <c r="AS110" s="144">
        <v>6.3E-2</v>
      </c>
      <c r="AT110" s="144">
        <v>5.5E-2</v>
      </c>
      <c r="AU110" s="144">
        <v>0.14399999999999999</v>
      </c>
      <c r="AV110" s="144">
        <v>0.09</v>
      </c>
      <c r="AW110" s="144">
        <v>0.16400000000000001</v>
      </c>
      <c r="AX110" s="117">
        <v>0.224</v>
      </c>
      <c r="AY110" s="141">
        <v>0.156</v>
      </c>
      <c r="AZ110" s="59">
        <v>0.253</v>
      </c>
      <c r="BA110" s="144">
        <v>0.52400000000000002</v>
      </c>
      <c r="BB110" s="144">
        <v>0.122</v>
      </c>
      <c r="BC110" s="144">
        <v>0.127</v>
      </c>
      <c r="BD110" s="144">
        <v>0.14099999999999999</v>
      </c>
      <c r="BE110" s="144">
        <v>0</v>
      </c>
      <c r="BF110" s="144">
        <v>8.7999999999999995E-2</v>
      </c>
      <c r="BG110" s="44" t="str">
        <f t="shared" si="1"/>
        <v>new Food('168878','Rice white long grain','Grain','1','cup','158',['2.69','0.28','28.17','0.41','0','0.02','0.4','1.2','12','43','35','1','0.49','0.069','0.472','7.5','0','0.004','0','0','0','0','0.163','0.013','1.476','0.39','0.093','0','2.1','0','10','97','0.3','0.031','0.096','0.116','0.222','0.097','0.063','0.055','0.144','0.09','0.164','0.224','0.156','0.253','0.524','0.122','0.127','0.141','0','0.088']),</v>
      </c>
    </row>
    <row r="111" spans="1:71" s="44" customFormat="1" ht="15" customHeight="1">
      <c r="A111" s="103">
        <v>168897</v>
      </c>
      <c r="B111" s="90" t="s">
        <v>89</v>
      </c>
      <c r="C111" s="50" t="s">
        <v>279</v>
      </c>
      <c r="D111" s="181">
        <v>1</v>
      </c>
      <c r="E111" s="91" t="s">
        <v>70</v>
      </c>
      <c r="F111" s="59">
        <v>164</v>
      </c>
      <c r="G111" s="117">
        <v>3.99</v>
      </c>
      <c r="H111" s="144">
        <v>0.34</v>
      </c>
      <c r="I111" s="117">
        <v>21.34</v>
      </c>
      <c r="J111" s="117">
        <v>0.4</v>
      </c>
      <c r="K111" s="59">
        <v>101</v>
      </c>
      <c r="L111" s="144">
        <v>0.73</v>
      </c>
      <c r="M111" s="59">
        <v>1.8</v>
      </c>
      <c r="N111" s="117">
        <v>0.06</v>
      </c>
      <c r="O111" s="117">
        <v>32</v>
      </c>
      <c r="P111" s="117">
        <v>82</v>
      </c>
      <c r="Q111" s="117">
        <v>101</v>
      </c>
      <c r="R111" s="117">
        <v>3</v>
      </c>
      <c r="S111" s="117">
        <v>1.34</v>
      </c>
      <c r="T111" s="59">
        <v>0.121</v>
      </c>
      <c r="U111" s="117">
        <v>0.28199999999999997</v>
      </c>
      <c r="V111" s="117">
        <v>0.8</v>
      </c>
      <c r="W111" s="117">
        <v>0</v>
      </c>
      <c r="X111" s="117">
        <v>0.24</v>
      </c>
      <c r="Y111" s="144">
        <v>0</v>
      </c>
      <c r="Z111" s="59">
        <v>0</v>
      </c>
      <c r="AA111" s="117">
        <v>0.38400000000000001</v>
      </c>
      <c r="AB111" s="144">
        <v>0</v>
      </c>
      <c r="AC111" s="117">
        <v>5.1999999999999998E-2</v>
      </c>
      <c r="AD111" s="117">
        <v>8.6999999999999994E-2</v>
      </c>
      <c r="AE111" s="144">
        <v>1.2869999999999999</v>
      </c>
      <c r="AF111" s="117">
        <v>0.154</v>
      </c>
      <c r="AG111" s="144">
        <v>0.13500000000000001</v>
      </c>
      <c r="AH111" s="117">
        <v>0</v>
      </c>
      <c r="AI111" s="59">
        <v>0</v>
      </c>
      <c r="AJ111" s="117">
        <v>0.5</v>
      </c>
      <c r="AK111" s="117">
        <v>26</v>
      </c>
      <c r="AL111" s="59">
        <v>26</v>
      </c>
      <c r="AM111" s="117">
        <v>0</v>
      </c>
      <c r="AN111" s="117">
        <v>4.9000000000000002E-2</v>
      </c>
      <c r="AO111" s="117">
        <v>0.127</v>
      </c>
      <c r="AP111" s="59">
        <v>0.16700000000000001</v>
      </c>
      <c r="AQ111" s="59">
        <v>0.27600000000000002</v>
      </c>
      <c r="AR111" s="117">
        <v>0.17</v>
      </c>
      <c r="AS111" s="117">
        <v>0.11899999999999999</v>
      </c>
      <c r="AT111" s="59">
        <v>4.7E-2</v>
      </c>
      <c r="AU111" s="117">
        <v>0.19500000000000001</v>
      </c>
      <c r="AV111" s="117">
        <v>0.16900000000000001</v>
      </c>
      <c r="AW111" s="117">
        <v>0.23200000000000001</v>
      </c>
      <c r="AX111" s="117">
        <v>0.308</v>
      </c>
      <c r="AY111" s="141">
        <v>0.223</v>
      </c>
      <c r="AZ111" s="59">
        <v>0.38400000000000001</v>
      </c>
      <c r="BA111" s="59">
        <v>0.69499999999999995</v>
      </c>
      <c r="BB111" s="59">
        <v>0.182</v>
      </c>
      <c r="BC111" s="144">
        <v>0.14000000000000001</v>
      </c>
      <c r="BD111" s="144">
        <v>0.214</v>
      </c>
      <c r="BE111" s="59">
        <v>0</v>
      </c>
      <c r="BF111" s="59">
        <v>0.05</v>
      </c>
      <c r="BG111" s="44" t="str">
        <f t="shared" si="1"/>
        <v>new Food('168897','Rice wild cooked','Grain','1','cup','164',['3.99','0.34','21.34','0.4','101','0.73','1.8','0.06','32','82','101','3','1.34','0.121','0.282','0.8','0','0.24','0','0','0.384','0','0.052','0.087','1.287','0.154','0.135','0','0','0.5','26','26','0','0.049','0.127','0.167','0.276','0.17','0.119','0.047','0.195','0.169','0.232','0.308','0.223','0.384','0.695','0.182','0.14','0.214','0','0.05']),</v>
      </c>
    </row>
    <row r="112" spans="1:71" ht="15.6">
      <c r="A112" s="98">
        <v>169589</v>
      </c>
      <c r="B112" s="44" t="s">
        <v>249</v>
      </c>
      <c r="C112" s="50" t="s">
        <v>285</v>
      </c>
      <c r="D112" s="174">
        <v>1</v>
      </c>
      <c r="E112" s="60" t="s">
        <v>406</v>
      </c>
      <c r="F112" s="63"/>
      <c r="G112" s="141">
        <v>7.53</v>
      </c>
      <c r="H112" s="142">
        <v>23.85</v>
      </c>
      <c r="I112" s="141">
        <v>61.51</v>
      </c>
      <c r="J112" s="141">
        <v>0</v>
      </c>
      <c r="K112" s="142">
        <v>491</v>
      </c>
      <c r="L112" s="142">
        <v>50.47</v>
      </c>
      <c r="M112" s="141">
        <v>2.2999999999999998</v>
      </c>
      <c r="N112" s="141">
        <v>0.72</v>
      </c>
      <c r="O112" s="141">
        <v>72</v>
      </c>
      <c r="P112" s="142">
        <v>190</v>
      </c>
      <c r="Q112" s="142">
        <v>323</v>
      </c>
      <c r="R112" s="142">
        <v>239</v>
      </c>
      <c r="S112" s="142">
        <v>2.5</v>
      </c>
      <c r="T112" s="142">
        <v>0.27</v>
      </c>
      <c r="U112" s="142">
        <v>0</v>
      </c>
      <c r="V112" s="142">
        <v>7.8</v>
      </c>
      <c r="W112" s="142">
        <v>45</v>
      </c>
      <c r="X112" s="142">
        <v>1.5</v>
      </c>
      <c r="Y112" s="142">
        <v>0</v>
      </c>
      <c r="Z112" s="142">
        <v>0</v>
      </c>
      <c r="AA112" s="142">
        <v>16</v>
      </c>
      <c r="AB112" s="142">
        <v>0.5</v>
      </c>
      <c r="AC112" s="142">
        <v>0.06</v>
      </c>
      <c r="AD112" s="142">
        <v>0.13</v>
      </c>
      <c r="AE112" s="142">
        <v>3.6</v>
      </c>
      <c r="AF112" s="142">
        <v>0</v>
      </c>
      <c r="AG112" s="142">
        <v>0.09</v>
      </c>
      <c r="AH112" s="141">
        <v>0.16</v>
      </c>
      <c r="AI112" s="141">
        <v>38.5</v>
      </c>
      <c r="AJ112" s="141">
        <v>1.9</v>
      </c>
      <c r="AK112" s="142">
        <v>21</v>
      </c>
      <c r="AL112" s="141">
        <v>31</v>
      </c>
      <c r="AM112" s="141">
        <v>0</v>
      </c>
      <c r="AN112" s="141">
        <v>0</v>
      </c>
      <c r="AO112" s="142">
        <v>0</v>
      </c>
      <c r="AP112" s="142">
        <v>0</v>
      </c>
      <c r="AQ112" s="142">
        <v>0</v>
      </c>
      <c r="AR112" s="142">
        <v>0</v>
      </c>
      <c r="AS112" s="142">
        <v>0</v>
      </c>
      <c r="AT112" s="142">
        <v>0</v>
      </c>
      <c r="AU112" s="142">
        <v>0</v>
      </c>
      <c r="AV112" s="142">
        <v>0</v>
      </c>
      <c r="AW112" s="142">
        <v>0</v>
      </c>
      <c r="AX112" s="142">
        <v>0</v>
      </c>
      <c r="AY112" s="142">
        <v>0</v>
      </c>
      <c r="AZ112" s="142">
        <v>0</v>
      </c>
      <c r="BA112" s="142">
        <v>0</v>
      </c>
      <c r="BB112" s="142">
        <v>0</v>
      </c>
      <c r="BC112" s="142">
        <v>0</v>
      </c>
      <c r="BD112" s="142">
        <v>0</v>
      </c>
      <c r="BE112" s="141">
        <v>13</v>
      </c>
      <c r="BF112" s="142">
        <v>7.875</v>
      </c>
      <c r="BG112" s="44" t="str">
        <f t="shared" si="1"/>
        <v>new Food('169589','Snickers Candy Bar','Snack','1','bar','',['7.53','23.85','61.51','0','491','50.47','2.3','0.72','72','190','323','239','2.5','0.27','0','7.8','45','1.5','0','0','16','0.5','0.06','0.13','3.6','0','0.09','0.16','38.5','1.9','21','31','0','0','0','0','0','0','0','0','0','0','0','0','0','0','0','0','0','0','13','7.875']),</v>
      </c>
      <c r="BH112" s="44"/>
      <c r="BI112" s="44"/>
      <c r="BJ112" s="44"/>
      <c r="BK112" s="44"/>
      <c r="BL112" s="44"/>
      <c r="BM112" s="44"/>
      <c r="BN112" s="44"/>
      <c r="BO112" s="44"/>
      <c r="BP112" s="44"/>
      <c r="BQ112" s="44"/>
      <c r="BR112" s="44"/>
      <c r="BS112" s="44"/>
    </row>
    <row r="113" spans="1:71" s="44" customFormat="1" ht="15" customHeight="1">
      <c r="A113" s="98">
        <v>172883</v>
      </c>
      <c r="B113" s="44" t="s">
        <v>309</v>
      </c>
      <c r="C113" s="50" t="s">
        <v>311</v>
      </c>
      <c r="D113" s="173">
        <v>1</v>
      </c>
      <c r="E113" s="58" t="s">
        <v>70</v>
      </c>
      <c r="F113" s="98">
        <v>240</v>
      </c>
      <c r="G113" s="46">
        <v>1.97</v>
      </c>
      <c r="H113" s="62">
        <v>0.09</v>
      </c>
      <c r="I113" s="46">
        <v>1.2</v>
      </c>
      <c r="J113" s="46">
        <v>0</v>
      </c>
      <c r="K113" s="62">
        <v>13</v>
      </c>
      <c r="L113" s="62">
        <v>0.54</v>
      </c>
      <c r="M113" s="46">
        <v>0</v>
      </c>
      <c r="N113" s="62">
        <v>0.27</v>
      </c>
      <c r="O113" s="62">
        <v>7</v>
      </c>
      <c r="P113" s="62">
        <v>31</v>
      </c>
      <c r="Q113" s="62">
        <v>185</v>
      </c>
      <c r="R113" s="62">
        <v>198</v>
      </c>
      <c r="S113" s="62">
        <v>0.17</v>
      </c>
      <c r="T113" s="62">
        <v>0.05</v>
      </c>
      <c r="U113" s="62">
        <v>0</v>
      </c>
      <c r="V113" s="62">
        <v>1.2</v>
      </c>
      <c r="W113" s="62">
        <v>0</v>
      </c>
      <c r="X113" s="62">
        <v>0.01</v>
      </c>
      <c r="Y113" s="62">
        <v>0</v>
      </c>
      <c r="Z113" s="62">
        <v>0</v>
      </c>
      <c r="AA113" s="46">
        <v>1</v>
      </c>
      <c r="AB113" s="46">
        <v>0</v>
      </c>
      <c r="AC113" s="46">
        <v>3.3000000000000002E-2</v>
      </c>
      <c r="AD113" s="46">
        <v>9.0999999999999998E-2</v>
      </c>
      <c r="AE113" s="46">
        <v>0.872</v>
      </c>
      <c r="AF113" s="46">
        <v>0</v>
      </c>
      <c r="AG113" s="46">
        <v>5.5E-2</v>
      </c>
      <c r="AH113" s="46">
        <v>0</v>
      </c>
      <c r="AI113" s="46">
        <v>4.8</v>
      </c>
      <c r="AJ113" s="46">
        <v>0.1</v>
      </c>
      <c r="AK113" s="46">
        <v>2</v>
      </c>
      <c r="AL113" s="46">
        <v>2</v>
      </c>
      <c r="AM113" s="46">
        <v>0</v>
      </c>
      <c r="AN113" s="46">
        <v>0</v>
      </c>
      <c r="AO113" s="46">
        <v>0</v>
      </c>
      <c r="AP113" s="46">
        <v>0</v>
      </c>
      <c r="AQ113" s="46">
        <v>0</v>
      </c>
      <c r="AR113" s="46">
        <v>0</v>
      </c>
      <c r="AS113" s="46">
        <v>0</v>
      </c>
      <c r="AT113" s="46">
        <v>0</v>
      </c>
      <c r="AU113" s="46">
        <v>0</v>
      </c>
      <c r="AV113" s="46">
        <v>0</v>
      </c>
      <c r="AW113" s="46">
        <v>0</v>
      </c>
      <c r="AX113" s="46">
        <v>0</v>
      </c>
      <c r="AY113" s="46">
        <v>0</v>
      </c>
      <c r="AZ113" s="46">
        <v>0</v>
      </c>
      <c r="BA113" s="46">
        <v>0</v>
      </c>
      <c r="BB113" s="46">
        <v>0</v>
      </c>
      <c r="BC113" s="46">
        <v>0</v>
      </c>
      <c r="BD113" s="46">
        <v>0</v>
      </c>
      <c r="BE113" s="46">
        <v>0</v>
      </c>
      <c r="BF113" s="46">
        <v>4.2999999999999997E-2</v>
      </c>
      <c r="BG113" s="44" t="str">
        <f t="shared" si="1"/>
        <v>new Food('172883','Soup stock beef','Ingred','1','cup','240',['1.97','0.09','1.2','0','13','0.54','0','0.27','7','31','185','198','0.17','0.05','0','1.2','0','0.01','0','0','1','0','0.033','0.091','0.872','0','0.055','0','4.8','0.1','2','2','0','0','0','0','0','0','0','0','0','0','0','0','0','0','0','0','0','0','0','0.043']),</v>
      </c>
      <c r="BR113" s="116"/>
      <c r="BS113" s="116"/>
    </row>
    <row r="114" spans="1:71" s="44" customFormat="1" ht="14.25" customHeight="1">
      <c r="A114" s="113">
        <v>172884</v>
      </c>
      <c r="B114" s="62" t="s">
        <v>310</v>
      </c>
      <c r="C114" s="121" t="s">
        <v>311</v>
      </c>
      <c r="D114" s="173">
        <v>1</v>
      </c>
      <c r="E114" s="58" t="s">
        <v>70</v>
      </c>
      <c r="F114" s="113">
        <v>240</v>
      </c>
      <c r="G114" s="62">
        <v>2.52</v>
      </c>
      <c r="H114" s="46">
        <v>1.2</v>
      </c>
      <c r="I114" s="62">
        <v>3.53</v>
      </c>
      <c r="J114" s="62">
        <v>0</v>
      </c>
      <c r="K114" s="46">
        <v>36</v>
      </c>
      <c r="L114" s="46">
        <v>1.58</v>
      </c>
      <c r="M114" s="46">
        <v>0</v>
      </c>
      <c r="N114" s="46">
        <v>0.21</v>
      </c>
      <c r="O114" s="46">
        <v>4</v>
      </c>
      <c r="P114" s="46">
        <v>27</v>
      </c>
      <c r="Q114" s="46">
        <v>105</v>
      </c>
      <c r="R114" s="46">
        <v>143</v>
      </c>
      <c r="S114" s="46">
        <v>0.14000000000000001</v>
      </c>
      <c r="T114" s="46">
        <v>5.3999999999999999E-2</v>
      </c>
      <c r="U114" s="46">
        <v>0</v>
      </c>
      <c r="V114" s="46">
        <v>2.2000000000000002</v>
      </c>
      <c r="W114" s="46">
        <v>1</v>
      </c>
      <c r="X114" s="46">
        <v>0.03</v>
      </c>
      <c r="Y114" s="46">
        <v>0</v>
      </c>
      <c r="Z114" s="46">
        <v>0</v>
      </c>
      <c r="AA114" s="46">
        <v>1</v>
      </c>
      <c r="AB114" s="46">
        <v>0.2</v>
      </c>
      <c r="AC114" s="46">
        <v>3.5000000000000003E-2</v>
      </c>
      <c r="AD114" s="46">
        <v>8.5000000000000006E-2</v>
      </c>
      <c r="AE114" s="46">
        <v>1.5840000000000001</v>
      </c>
      <c r="AF114" s="46">
        <v>0</v>
      </c>
      <c r="AG114" s="46">
        <v>6.0999999999999999E-2</v>
      </c>
      <c r="AH114" s="46">
        <v>0</v>
      </c>
      <c r="AI114" s="46">
        <v>9.1999999999999993</v>
      </c>
      <c r="AJ114" s="46">
        <v>0.2</v>
      </c>
      <c r="AK114" s="46">
        <v>5</v>
      </c>
      <c r="AL114" s="46">
        <v>5</v>
      </c>
      <c r="AM114" s="46">
        <v>0</v>
      </c>
      <c r="AN114" s="46">
        <v>0</v>
      </c>
      <c r="AO114" s="46">
        <v>0</v>
      </c>
      <c r="AP114" s="46">
        <v>0</v>
      </c>
      <c r="AQ114" s="46">
        <v>0</v>
      </c>
      <c r="AR114" s="46">
        <v>0</v>
      </c>
      <c r="AS114" s="46">
        <v>0</v>
      </c>
      <c r="AT114" s="46">
        <v>0</v>
      </c>
      <c r="AU114" s="46">
        <v>0</v>
      </c>
      <c r="AV114" s="46">
        <v>0</v>
      </c>
      <c r="AW114" s="46">
        <v>0</v>
      </c>
      <c r="AX114" s="46">
        <v>0</v>
      </c>
      <c r="AY114" s="46">
        <v>0</v>
      </c>
      <c r="AZ114" s="46">
        <v>0</v>
      </c>
      <c r="BA114" s="46">
        <v>0</v>
      </c>
      <c r="BB114" s="46">
        <v>0</v>
      </c>
      <c r="BC114" s="46">
        <v>0</v>
      </c>
      <c r="BD114" s="46">
        <v>0</v>
      </c>
      <c r="BE114" s="46">
        <v>3</v>
      </c>
      <c r="BF114" s="46">
        <v>0.58199999999999996</v>
      </c>
      <c r="BG114" s="44" t="str">
        <f t="shared" si="1"/>
        <v>new Food('172884','Soup stock chicken','Ingred','1','cup','240',['2.52','1.2','3.53','0','36','1.58','0','0.21','4','27','105','143','0.14','0.054','0','2.2','1','0.03','0','0','1','0.2','0.035','0.085','1.584','0','0.061','0','9.2','0.2','5','5','0','0','0','0','0','0','0','0','0','0','0','0','0','0','0','0','0','0','3','0.582']),</v>
      </c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116"/>
      <c r="BS114" s="116"/>
    </row>
    <row r="115" spans="1:71" s="44" customFormat="1" ht="15" customHeight="1">
      <c r="A115" s="98">
        <v>171257</v>
      </c>
      <c r="B115" s="44" t="s">
        <v>328</v>
      </c>
      <c r="C115" s="50" t="s">
        <v>311</v>
      </c>
      <c r="D115" s="173">
        <v>1</v>
      </c>
      <c r="E115" s="58" t="s">
        <v>404</v>
      </c>
      <c r="F115" s="98">
        <v>12</v>
      </c>
      <c r="G115" s="62">
        <v>2.44</v>
      </c>
      <c r="H115" s="46">
        <v>19.350000000000001</v>
      </c>
      <c r="I115" s="46">
        <v>4.63</v>
      </c>
      <c r="J115" s="62">
        <v>0</v>
      </c>
      <c r="K115" s="46">
        <v>198</v>
      </c>
      <c r="L115" s="46">
        <v>3.41</v>
      </c>
      <c r="M115" s="46">
        <v>0</v>
      </c>
      <c r="N115" s="46">
        <v>7.0000000000000007E-2</v>
      </c>
      <c r="O115" s="46">
        <v>10</v>
      </c>
      <c r="P115" s="46">
        <v>76</v>
      </c>
      <c r="Q115" s="46">
        <v>125</v>
      </c>
      <c r="R115" s="46">
        <v>31</v>
      </c>
      <c r="S115" s="46">
        <v>0.33</v>
      </c>
      <c r="T115" s="46">
        <v>1.7999999999999999E-2</v>
      </c>
      <c r="U115" s="46">
        <v>0</v>
      </c>
      <c r="V115" s="46">
        <v>3.7</v>
      </c>
      <c r="W115" s="46">
        <v>121</v>
      </c>
      <c r="X115" s="46">
        <v>0.38</v>
      </c>
      <c r="Y115" s="46">
        <v>0</v>
      </c>
      <c r="Z115" s="46">
        <v>1</v>
      </c>
      <c r="AA115" s="46">
        <v>4</v>
      </c>
      <c r="AB115" s="46">
        <v>0.9</v>
      </c>
      <c r="AC115" s="46">
        <v>0.02</v>
      </c>
      <c r="AD115" s="46">
        <v>0.16800000000000001</v>
      </c>
      <c r="AE115" s="46">
        <v>9.2999999999999999E-2</v>
      </c>
      <c r="AF115" s="46">
        <v>0</v>
      </c>
      <c r="AG115" s="46">
        <v>4.1000000000000002E-2</v>
      </c>
      <c r="AH115" s="46">
        <v>0.21</v>
      </c>
      <c r="AI115" s="46">
        <v>19.2</v>
      </c>
      <c r="AJ115" s="46">
        <v>1.5</v>
      </c>
      <c r="AK115" s="46">
        <v>6</v>
      </c>
      <c r="AL115" s="46">
        <v>6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6">
        <v>0</v>
      </c>
      <c r="AY115" s="46">
        <v>0</v>
      </c>
      <c r="AZ115" s="46">
        <v>0</v>
      </c>
      <c r="BA115" s="46">
        <v>0</v>
      </c>
      <c r="BB115" s="46">
        <v>0</v>
      </c>
      <c r="BC115" s="46">
        <v>0</v>
      </c>
      <c r="BD115" s="46">
        <v>0</v>
      </c>
      <c r="BE115" s="46">
        <v>59</v>
      </c>
      <c r="BF115" s="46">
        <v>4.59</v>
      </c>
      <c r="BG115" s="44" t="str">
        <f t="shared" si="1"/>
        <v>new Food('171257','Sour cream','Ingred','1','Tbsp','12',['2.44','19.35','4.63','0','198','3.41','0','0.07','10','76','125','31','0.33','0.018','0','3.7','121','0.38','0','1','4','0.9','0.02','0.168','0.093','0','0.041','0.21','19.2','1.5','6','6','0','0','0','0','0','0','0','0','0','0','0','0','0','0','0','0','0','0','59','4.59']),</v>
      </c>
      <c r="BR115" s="116"/>
      <c r="BS115" s="116"/>
    </row>
    <row r="116" spans="1:71" s="44" customFormat="1" ht="15" customHeight="1">
      <c r="A116" s="98">
        <v>1999632</v>
      </c>
      <c r="B116" s="44" t="s">
        <v>307</v>
      </c>
      <c r="C116" s="50" t="s">
        <v>311</v>
      </c>
      <c r="D116" s="173">
        <v>1</v>
      </c>
      <c r="E116" s="58" t="s">
        <v>429</v>
      </c>
      <c r="F116" s="110">
        <v>100</v>
      </c>
      <c r="G116" s="62">
        <v>2.85</v>
      </c>
      <c r="H116" s="46">
        <v>0.62</v>
      </c>
      <c r="I116" s="46">
        <v>2.41</v>
      </c>
      <c r="J116" s="46">
        <v>0</v>
      </c>
      <c r="K116" s="46">
        <v>27</v>
      </c>
      <c r="L116" s="46">
        <v>0.42</v>
      </c>
      <c r="M116" s="62">
        <v>1.6</v>
      </c>
      <c r="N116" s="62">
        <v>1.26</v>
      </c>
      <c r="O116" s="62">
        <v>93</v>
      </c>
      <c r="P116" s="62">
        <v>39</v>
      </c>
      <c r="Q116" s="62">
        <v>582</v>
      </c>
      <c r="R116" s="62">
        <v>111</v>
      </c>
      <c r="S116" s="62">
        <v>0.45</v>
      </c>
      <c r="T116" s="62">
        <v>8.2000000000000003E-2</v>
      </c>
      <c r="U116" s="62">
        <v>0</v>
      </c>
      <c r="V116" s="46">
        <v>0</v>
      </c>
      <c r="W116" s="46">
        <v>0</v>
      </c>
      <c r="X116" s="46">
        <v>2.0299999999999998</v>
      </c>
      <c r="Y116" s="46">
        <v>0</v>
      </c>
      <c r="Z116" s="62">
        <v>0</v>
      </c>
      <c r="AA116" s="62">
        <v>6020</v>
      </c>
      <c r="AB116" s="62">
        <v>26.5</v>
      </c>
      <c r="AC116" s="62">
        <v>7.6999999999999999E-2</v>
      </c>
      <c r="AD116" s="62">
        <v>0.19400000000000001</v>
      </c>
      <c r="AE116" s="62">
        <v>0.51</v>
      </c>
      <c r="AF116" s="62">
        <v>0</v>
      </c>
      <c r="AG116" s="62">
        <v>0.19500000000000001</v>
      </c>
      <c r="AH116" s="62">
        <v>0</v>
      </c>
      <c r="AI116" s="62">
        <v>19.3</v>
      </c>
      <c r="AJ116" s="62">
        <v>482.9</v>
      </c>
      <c r="AK116" s="62">
        <v>116</v>
      </c>
      <c r="AL116" s="62">
        <v>116</v>
      </c>
      <c r="AM116" s="62">
        <v>0</v>
      </c>
      <c r="AN116" s="62">
        <v>0</v>
      </c>
      <c r="AO116" s="62">
        <v>0</v>
      </c>
      <c r="AP116" s="62">
        <v>0</v>
      </c>
      <c r="AQ116" s="62">
        <v>0</v>
      </c>
      <c r="AR116" s="62">
        <v>0</v>
      </c>
      <c r="AS116" s="62">
        <v>0</v>
      </c>
      <c r="AT116" s="62">
        <v>0</v>
      </c>
      <c r="AU116" s="62">
        <v>0</v>
      </c>
      <c r="AV116" s="62">
        <v>0</v>
      </c>
      <c r="AW116" s="62">
        <v>0</v>
      </c>
      <c r="AX116" s="62">
        <v>0</v>
      </c>
      <c r="AY116" s="62">
        <v>0</v>
      </c>
      <c r="AZ116" s="62">
        <v>0</v>
      </c>
      <c r="BA116" s="62">
        <v>0</v>
      </c>
      <c r="BB116" s="62">
        <v>0</v>
      </c>
      <c r="BC116" s="62">
        <v>0</v>
      </c>
      <c r="BD116" s="62">
        <v>0</v>
      </c>
      <c r="BE116" s="62">
        <v>0</v>
      </c>
      <c r="BF116" s="62">
        <v>0.01</v>
      </c>
      <c r="BG116" s="44" t="str">
        <f t="shared" si="1"/>
        <v>new Food('1999632','Spinach baby','Ingred','1','unit','100',['2.85','0.62','2.41','0','27','0.42','1.6','1.26','93','39','582','111','0.45','0.082','0','0','0','2.03','0','0','6020','26.5','0.077','0.194','0.51','0','0.195','0','19.3','482.9','116','116','0','0','0','0','0','0','0','0','0','0','0','0','0','0','0','0','0','0','0','0.01']),</v>
      </c>
    </row>
    <row r="117" spans="1:71" s="44" customFormat="1" ht="15" customHeight="1">
      <c r="A117" s="98">
        <v>2346409</v>
      </c>
      <c r="B117" s="44" t="s">
        <v>308</v>
      </c>
      <c r="C117" s="50" t="s">
        <v>87</v>
      </c>
      <c r="D117" s="173">
        <v>1</v>
      </c>
      <c r="E117" s="58" t="s">
        <v>429</v>
      </c>
      <c r="F117" s="63">
        <v>100</v>
      </c>
      <c r="G117" s="141">
        <v>0.64</v>
      </c>
      <c r="H117" s="142">
        <v>0.22</v>
      </c>
      <c r="I117" s="142">
        <v>7.63</v>
      </c>
      <c r="J117" s="142">
        <v>0</v>
      </c>
      <c r="K117" s="142">
        <v>35</v>
      </c>
      <c r="L117" s="142">
        <v>5.34</v>
      </c>
      <c r="M117" s="141">
        <v>1.8</v>
      </c>
      <c r="N117" s="142">
        <v>0.28000000000000003</v>
      </c>
      <c r="O117" s="142">
        <v>12</v>
      </c>
      <c r="P117" s="142">
        <v>20</v>
      </c>
      <c r="Q117" s="142">
        <v>89</v>
      </c>
      <c r="R117" s="142">
        <v>10</v>
      </c>
      <c r="S117" s="142">
        <v>0.18</v>
      </c>
      <c r="T117" s="142">
        <v>0.11899999999999999</v>
      </c>
      <c r="U117" s="142">
        <v>0</v>
      </c>
      <c r="V117" s="142">
        <v>0.4</v>
      </c>
      <c r="W117" s="142">
        <v>0</v>
      </c>
      <c r="X117" s="142">
        <v>0.28999999999999998</v>
      </c>
      <c r="Y117" s="142">
        <v>0</v>
      </c>
      <c r="Z117" s="142">
        <v>0</v>
      </c>
      <c r="AA117" s="142">
        <v>22</v>
      </c>
      <c r="AB117" s="142">
        <v>56</v>
      </c>
      <c r="AC117" s="142">
        <v>2.5000000000000001E-2</v>
      </c>
      <c r="AD117" s="142">
        <v>1.6E-2</v>
      </c>
      <c r="AE117" s="142">
        <v>0.38600000000000001</v>
      </c>
      <c r="AF117" s="142">
        <v>0</v>
      </c>
      <c r="AG117" s="142">
        <v>3.5000000000000003E-2</v>
      </c>
      <c r="AH117" s="142">
        <v>0</v>
      </c>
      <c r="AI117" s="142">
        <v>5.7</v>
      </c>
      <c r="AJ117" s="142">
        <v>2.1</v>
      </c>
      <c r="AK117" s="142">
        <v>8</v>
      </c>
      <c r="AL117" s="141">
        <v>8</v>
      </c>
      <c r="AM117" s="142">
        <v>0</v>
      </c>
      <c r="AN117" s="141">
        <v>0</v>
      </c>
      <c r="AO117" s="142">
        <v>0</v>
      </c>
      <c r="AP117" s="142">
        <v>0</v>
      </c>
      <c r="AQ117" s="142">
        <v>0</v>
      </c>
      <c r="AR117" s="142">
        <v>0</v>
      </c>
      <c r="AS117" s="142">
        <v>0</v>
      </c>
      <c r="AT117" s="142">
        <v>0</v>
      </c>
      <c r="AU117" s="142">
        <v>0</v>
      </c>
      <c r="AV117" s="142">
        <v>0</v>
      </c>
      <c r="AW117" s="142">
        <v>0</v>
      </c>
      <c r="AX117" s="142">
        <v>0</v>
      </c>
      <c r="AY117" s="142">
        <v>0</v>
      </c>
      <c r="AZ117" s="142">
        <v>0</v>
      </c>
      <c r="BA117" s="142">
        <v>0</v>
      </c>
      <c r="BB117" s="142">
        <v>0</v>
      </c>
      <c r="BC117" s="142">
        <v>0</v>
      </c>
      <c r="BD117" s="142">
        <v>0</v>
      </c>
      <c r="BE117" s="142">
        <v>0</v>
      </c>
      <c r="BF117" s="142">
        <v>0</v>
      </c>
      <c r="BG117" s="44" t="str">
        <f t="shared" si="1"/>
        <v>new Food('2346409','Strawberries','Fruit','1','unit','100',['0.64','0.22','7.63','0','35','5.34','1.8','0.28','12','20','89','10','0.18','0.119','0','0.4','0','0.29','0','0','22','56','0.025','0.016','0.386','0','0.035','0','5.7','2.1','8','8','0','0','0','0','0','0','0','0','0','0','0','0','0','0','0','0','0','0','0','0']),</v>
      </c>
    </row>
    <row r="118" spans="1:71" s="44" customFormat="1" ht="15" customHeight="1">
      <c r="A118" s="98">
        <v>2706455</v>
      </c>
      <c r="B118" s="44" t="s">
        <v>384</v>
      </c>
      <c r="C118" s="50" t="s">
        <v>311</v>
      </c>
      <c r="D118" s="173">
        <v>1</v>
      </c>
      <c r="E118" s="58" t="s">
        <v>70</v>
      </c>
      <c r="F118" s="63">
        <v>100</v>
      </c>
      <c r="G118" s="44">
        <v>0</v>
      </c>
      <c r="H118" s="44">
        <v>0</v>
      </c>
      <c r="I118" s="44">
        <v>100</v>
      </c>
      <c r="J118" s="44">
        <v>0.01</v>
      </c>
      <c r="K118" s="44">
        <v>387</v>
      </c>
      <c r="L118" s="44">
        <v>99.8</v>
      </c>
      <c r="M118" s="44">
        <v>0</v>
      </c>
      <c r="N118" s="44">
        <v>0.05</v>
      </c>
      <c r="O118" s="44">
        <v>0</v>
      </c>
      <c r="P118" s="44">
        <v>0</v>
      </c>
      <c r="Q118" s="44">
        <v>2</v>
      </c>
      <c r="R118" s="44">
        <v>1</v>
      </c>
      <c r="S118" s="44">
        <v>0.01</v>
      </c>
      <c r="T118" s="44">
        <v>7.0000000000000001E-3</v>
      </c>
      <c r="U118" s="44">
        <v>4.0000000000000001E-3</v>
      </c>
      <c r="V118" s="44">
        <v>0.6</v>
      </c>
      <c r="W118" s="44">
        <v>0</v>
      </c>
      <c r="X118" s="44">
        <v>0</v>
      </c>
      <c r="Y118" s="44">
        <v>0</v>
      </c>
      <c r="Z118" s="44">
        <v>0</v>
      </c>
      <c r="AA118" s="44">
        <v>0</v>
      </c>
      <c r="AB118" s="44">
        <v>0</v>
      </c>
      <c r="AC118" s="44">
        <v>0</v>
      </c>
      <c r="AD118" s="44">
        <v>1.9E-2</v>
      </c>
      <c r="AE118" s="44">
        <v>0</v>
      </c>
      <c r="AF118" s="44">
        <v>0</v>
      </c>
      <c r="AG118" s="44">
        <v>0</v>
      </c>
      <c r="AH118" s="44">
        <v>0</v>
      </c>
      <c r="AI118" s="44">
        <v>0</v>
      </c>
      <c r="AJ118" s="44">
        <v>0</v>
      </c>
      <c r="AK118" s="44">
        <v>1</v>
      </c>
      <c r="AL118" s="44">
        <v>0</v>
      </c>
      <c r="AM118" s="44">
        <v>0</v>
      </c>
      <c r="AN118" s="44">
        <v>0</v>
      </c>
      <c r="AO118" s="44">
        <v>0</v>
      </c>
      <c r="AP118" s="44">
        <v>0</v>
      </c>
      <c r="AQ118" s="44">
        <v>0</v>
      </c>
      <c r="AR118" s="44">
        <v>0</v>
      </c>
      <c r="AS118" s="44">
        <v>0</v>
      </c>
      <c r="AT118" s="44">
        <v>0</v>
      </c>
      <c r="AU118" s="44">
        <v>0</v>
      </c>
      <c r="AV118" s="44">
        <v>0</v>
      </c>
      <c r="AW118" s="44">
        <v>0</v>
      </c>
      <c r="AX118" s="44">
        <v>0</v>
      </c>
      <c r="AY118" s="44">
        <v>0</v>
      </c>
      <c r="AZ118" s="44">
        <v>0</v>
      </c>
      <c r="BA118" s="44">
        <v>0</v>
      </c>
      <c r="BB118" s="44">
        <v>0</v>
      </c>
      <c r="BC118" s="44">
        <v>0</v>
      </c>
      <c r="BD118" s="44">
        <v>0</v>
      </c>
      <c r="BE118" s="44">
        <v>0</v>
      </c>
      <c r="BF118" s="44">
        <v>0</v>
      </c>
      <c r="BG118" s="44" t="str">
        <f t="shared" si="1"/>
        <v>new Food('2706455','Sugar, white','Ingred','1','cup','100',['0','0','100','0.01','387','99.8','0','0.05','0','0','2','1','0.01','0.007','0.004','0.6','0','0','0','0','0','0','0','0.019','0','0','0','0','0','0','1','0','0','0','0','0','0','0','0','0','0','0','0','0','0','0','0','0','0','0','0','0']),</v>
      </c>
    </row>
    <row r="119" spans="1:71" s="44" customFormat="1" ht="15" customHeight="1">
      <c r="A119" s="98">
        <v>2718454</v>
      </c>
      <c r="B119" s="44" t="s">
        <v>323</v>
      </c>
      <c r="C119" s="50" t="s">
        <v>311</v>
      </c>
      <c r="D119" s="173">
        <v>2</v>
      </c>
      <c r="E119" s="58" t="s">
        <v>426</v>
      </c>
      <c r="F119" s="98">
        <v>27</v>
      </c>
      <c r="G119" s="62">
        <v>1.5</v>
      </c>
      <c r="H119" s="46">
        <v>5.5</v>
      </c>
      <c r="I119" s="46">
        <v>16</v>
      </c>
      <c r="J119" s="45">
        <v>0</v>
      </c>
      <c r="K119" s="46">
        <v>120</v>
      </c>
      <c r="L119" s="46">
        <v>0</v>
      </c>
      <c r="M119" s="46">
        <v>1.75</v>
      </c>
      <c r="N119" s="46">
        <v>0.45</v>
      </c>
      <c r="O119" s="46">
        <v>0</v>
      </c>
      <c r="P119" s="46">
        <v>0</v>
      </c>
      <c r="Q119" s="46">
        <v>55</v>
      </c>
      <c r="R119" s="46">
        <v>97.5</v>
      </c>
      <c r="S119" s="46">
        <v>0</v>
      </c>
      <c r="T119" s="46">
        <v>0</v>
      </c>
      <c r="U119" s="46">
        <v>0</v>
      </c>
      <c r="V119" s="46">
        <v>0</v>
      </c>
      <c r="W119" s="46">
        <v>0</v>
      </c>
      <c r="X119" s="46">
        <v>0</v>
      </c>
      <c r="Y119" s="46">
        <v>0</v>
      </c>
      <c r="Z119" s="46">
        <v>0</v>
      </c>
      <c r="AA119" s="46">
        <v>0</v>
      </c>
      <c r="AB119" s="46">
        <v>0</v>
      </c>
      <c r="AC119" s="46">
        <v>0</v>
      </c>
      <c r="AD119" s="46">
        <v>0</v>
      </c>
      <c r="AE119" s="46">
        <v>0</v>
      </c>
      <c r="AF119" s="46">
        <v>0</v>
      </c>
      <c r="AG119" s="46">
        <v>0</v>
      </c>
      <c r="AH119" s="46">
        <v>0</v>
      </c>
      <c r="AI119" s="46">
        <v>0</v>
      </c>
      <c r="AJ119" s="46">
        <v>0</v>
      </c>
      <c r="AK119" s="46">
        <v>25</v>
      </c>
      <c r="AL119" s="46">
        <v>0</v>
      </c>
      <c r="AM119" s="46">
        <v>0</v>
      </c>
      <c r="AN119" s="46">
        <v>0</v>
      </c>
      <c r="AO119" s="46">
        <v>0</v>
      </c>
      <c r="AP119" s="46">
        <v>0</v>
      </c>
      <c r="AQ119" s="46">
        <v>0</v>
      </c>
      <c r="AR119" s="46">
        <v>0</v>
      </c>
      <c r="AS119" s="46">
        <v>0</v>
      </c>
      <c r="AT119" s="46">
        <v>0</v>
      </c>
      <c r="AU119" s="46">
        <v>0</v>
      </c>
      <c r="AV119" s="46">
        <v>0</v>
      </c>
      <c r="AW119" s="46">
        <v>0</v>
      </c>
      <c r="AX119" s="46">
        <v>0</v>
      </c>
      <c r="AY119" s="46">
        <v>0</v>
      </c>
      <c r="AZ119" s="46">
        <v>0</v>
      </c>
      <c r="BA119" s="46">
        <v>0</v>
      </c>
      <c r="BB119" s="46">
        <v>0</v>
      </c>
      <c r="BC119" s="46">
        <v>0</v>
      </c>
      <c r="BD119" s="46">
        <v>0</v>
      </c>
      <c r="BE119" s="46">
        <v>0</v>
      </c>
      <c r="BF119" s="46">
        <v>0</v>
      </c>
      <c r="BG119" s="44" t="str">
        <f t="shared" si="1"/>
        <v>new Food('2718454','Taco shells corn','Ingred','2','shells','27',['1.5','5.5','16','0','120','0','1.75','0.45','0','0','55','97.5','0','0','0','0','0','0','0','0','0','0','0','0','0','0','0','0','0','0','25','0','0','0','0','0','0','0','0','0','0','0','0','0','0','0','0','0','0','0','0','0']),</v>
      </c>
      <c r="BH119" s="116"/>
      <c r="BI119" s="116"/>
      <c r="BJ119" s="116"/>
      <c r="BK119" s="116"/>
      <c r="BL119" s="116"/>
      <c r="BM119" s="116"/>
      <c r="BN119" s="116"/>
      <c r="BO119" s="116"/>
      <c r="BP119" s="116"/>
      <c r="BQ119" s="116"/>
    </row>
    <row r="120" spans="1:71" ht="15.6">
      <c r="A120" s="98">
        <v>2210908</v>
      </c>
      <c r="B120" s="44" t="s">
        <v>268</v>
      </c>
      <c r="C120" s="50" t="s">
        <v>279</v>
      </c>
      <c r="D120" s="174">
        <v>10</v>
      </c>
      <c r="E120" s="60" t="s">
        <v>427</v>
      </c>
      <c r="F120" s="63">
        <v>86</v>
      </c>
      <c r="G120" s="141">
        <v>2.33</v>
      </c>
      <c r="H120" s="141">
        <v>9.3000000000000007</v>
      </c>
      <c r="I120" s="141">
        <v>16.28</v>
      </c>
      <c r="J120" s="141">
        <v>0</v>
      </c>
      <c r="K120" s="141">
        <v>151</v>
      </c>
      <c r="L120" s="142">
        <v>1.1599999999999999</v>
      </c>
      <c r="M120" s="142">
        <v>1.2</v>
      </c>
      <c r="N120" s="142">
        <v>0.7</v>
      </c>
      <c r="O120" s="142">
        <v>0</v>
      </c>
      <c r="P120" s="142">
        <v>0</v>
      </c>
      <c r="Q120" s="142">
        <v>372</v>
      </c>
      <c r="R120" s="142">
        <v>523</v>
      </c>
      <c r="S120" s="142">
        <v>0</v>
      </c>
      <c r="T120" s="142">
        <v>0</v>
      </c>
      <c r="U120" s="142">
        <v>0</v>
      </c>
      <c r="V120" s="142">
        <v>0</v>
      </c>
      <c r="W120" s="142">
        <v>0</v>
      </c>
      <c r="X120" s="142">
        <v>0</v>
      </c>
      <c r="Y120" s="142">
        <v>0</v>
      </c>
      <c r="Z120" s="142">
        <v>0</v>
      </c>
      <c r="AA120" s="142">
        <v>0</v>
      </c>
      <c r="AB120" s="142">
        <v>0</v>
      </c>
      <c r="AC120" s="142">
        <v>0</v>
      </c>
      <c r="AD120" s="142">
        <v>0</v>
      </c>
      <c r="AE120" s="142">
        <v>0</v>
      </c>
      <c r="AF120" s="142">
        <v>0</v>
      </c>
      <c r="AG120" s="142">
        <v>0</v>
      </c>
      <c r="AH120" s="142">
        <v>0</v>
      </c>
      <c r="AI120" s="142">
        <v>0</v>
      </c>
      <c r="AJ120" s="142">
        <v>0</v>
      </c>
      <c r="AK120" s="142">
        <v>0</v>
      </c>
      <c r="AL120" s="142">
        <v>0</v>
      </c>
      <c r="AM120" s="142">
        <v>0</v>
      </c>
      <c r="AN120" s="142">
        <v>0</v>
      </c>
      <c r="AO120" s="142">
        <v>0</v>
      </c>
      <c r="AP120" s="142">
        <v>0</v>
      </c>
      <c r="AQ120" s="142">
        <v>0</v>
      </c>
      <c r="AR120" s="142">
        <v>0</v>
      </c>
      <c r="AS120" s="142">
        <v>0</v>
      </c>
      <c r="AT120" s="142">
        <v>0</v>
      </c>
      <c r="AU120" s="142">
        <v>0</v>
      </c>
      <c r="AV120" s="142">
        <v>0</v>
      </c>
      <c r="AW120" s="142">
        <v>0</v>
      </c>
      <c r="AX120" s="142">
        <v>0</v>
      </c>
      <c r="AY120" s="142">
        <v>0</v>
      </c>
      <c r="AZ120" s="142">
        <v>0</v>
      </c>
      <c r="BA120" s="142">
        <v>0</v>
      </c>
      <c r="BB120" s="142">
        <v>0</v>
      </c>
      <c r="BC120" s="142">
        <v>0</v>
      </c>
      <c r="BD120" s="142">
        <v>0</v>
      </c>
      <c r="BE120" s="142">
        <v>0</v>
      </c>
      <c r="BF120" s="142">
        <v>0</v>
      </c>
      <c r="BG120" s="44" t="str">
        <f t="shared" si="1"/>
        <v>new Food('2210908','Tater Tots','Grain','10','tots','86',['2.33','9.3','16.28','0','151','1.16','1.2','0.7','0','0','372','523','0','0','0','0','0','0','0','0','0','0','0','0','0','0','0','0','0','0','0','0','0','0','0','0','0','0','0','0','0','0','0','0','0','0','0','0','0','0','0','0']),</v>
      </c>
      <c r="BH120" s="44"/>
      <c r="BI120" s="44"/>
      <c r="BJ120" s="44"/>
      <c r="BK120" s="44"/>
      <c r="BL120" s="44"/>
      <c r="BM120" s="44"/>
      <c r="BN120" s="44"/>
      <c r="BO120" s="44"/>
      <c r="BP120" s="44"/>
      <c r="BQ120" s="44"/>
      <c r="BR120" s="44"/>
      <c r="BS120" s="44"/>
    </row>
    <row r="121" spans="1:71" s="44" customFormat="1" ht="15.6">
      <c r="A121" s="98">
        <v>2710488</v>
      </c>
      <c r="B121" s="62" t="s">
        <v>253</v>
      </c>
      <c r="C121" s="60" t="s">
        <v>280</v>
      </c>
      <c r="D121" s="174">
        <v>1</v>
      </c>
      <c r="E121" s="60" t="s">
        <v>70</v>
      </c>
      <c r="F121" s="63"/>
      <c r="G121" s="141">
        <v>0</v>
      </c>
      <c r="H121" s="142">
        <v>0</v>
      </c>
      <c r="I121" s="141">
        <v>0.3</v>
      </c>
      <c r="J121" s="142">
        <v>0</v>
      </c>
      <c r="K121" s="142">
        <v>1</v>
      </c>
      <c r="L121" s="142">
        <v>0</v>
      </c>
      <c r="M121" s="142">
        <v>0</v>
      </c>
      <c r="N121" s="142">
        <v>0.02</v>
      </c>
      <c r="O121" s="142">
        <v>3</v>
      </c>
      <c r="P121" s="142">
        <v>1</v>
      </c>
      <c r="Q121" s="142">
        <v>37</v>
      </c>
      <c r="R121" s="142">
        <v>3</v>
      </c>
      <c r="S121" s="142">
        <v>0.02</v>
      </c>
      <c r="T121" s="142">
        <v>0.01</v>
      </c>
      <c r="U121" s="142">
        <v>0</v>
      </c>
      <c r="V121" s="142">
        <v>0</v>
      </c>
      <c r="W121" s="142">
        <v>0</v>
      </c>
      <c r="X121" s="142">
        <v>0</v>
      </c>
      <c r="Y121" s="142">
        <v>0</v>
      </c>
      <c r="Z121" s="142">
        <v>0</v>
      </c>
      <c r="AA121" s="142">
        <v>0</v>
      </c>
      <c r="AB121" s="142">
        <v>0</v>
      </c>
      <c r="AC121" s="142">
        <v>0</v>
      </c>
      <c r="AD121" s="142">
        <v>1.4E-2</v>
      </c>
      <c r="AE121" s="142">
        <v>0</v>
      </c>
      <c r="AF121" s="142">
        <v>0</v>
      </c>
      <c r="AG121" s="142">
        <v>0</v>
      </c>
      <c r="AH121" s="142">
        <v>0</v>
      </c>
      <c r="AI121" s="142">
        <v>0.4</v>
      </c>
      <c r="AJ121" s="142">
        <v>0</v>
      </c>
      <c r="AK121" s="142">
        <v>5</v>
      </c>
      <c r="AL121" s="142">
        <v>5</v>
      </c>
      <c r="AM121" s="142">
        <v>0</v>
      </c>
      <c r="AN121" s="142">
        <v>0</v>
      </c>
      <c r="AO121" s="142">
        <v>0</v>
      </c>
      <c r="AP121" s="142">
        <v>0</v>
      </c>
      <c r="AQ121" s="142">
        <v>0</v>
      </c>
      <c r="AR121" s="142">
        <v>0</v>
      </c>
      <c r="AS121" s="142">
        <v>0</v>
      </c>
      <c r="AT121" s="142">
        <v>0</v>
      </c>
      <c r="AU121" s="142">
        <v>0</v>
      </c>
      <c r="AV121" s="142">
        <v>0</v>
      </c>
      <c r="AW121" s="142">
        <v>0</v>
      </c>
      <c r="AX121" s="142">
        <v>0</v>
      </c>
      <c r="AY121" s="142">
        <v>0</v>
      </c>
      <c r="AZ121" s="142">
        <v>0</v>
      </c>
      <c r="BA121" s="142">
        <v>0</v>
      </c>
      <c r="BB121" s="142">
        <v>0</v>
      </c>
      <c r="BC121" s="142">
        <v>0</v>
      </c>
      <c r="BD121" s="142">
        <v>0</v>
      </c>
      <c r="BE121" s="142">
        <v>0</v>
      </c>
      <c r="BF121" s="142">
        <v>1E-3</v>
      </c>
      <c r="BG121" s="44" t="str">
        <f t="shared" si="1"/>
        <v>new Food('2710488','Tea black brewed','Bev','1','cup','',['0','0','0.3','0','1','0','0','0.02','3','1','37','3','0.02','0.01','0','0','0','0','0','0','0','0','0','0.014','0','0','0','0','0.4','0','5','5','0','0','0','0','0','0','0','0','0','0','0','0','0','0','0','0','0','0','0','0.001']),</v>
      </c>
    </row>
    <row r="122" spans="1:71" s="44" customFormat="1" ht="15.6">
      <c r="A122" s="98">
        <v>170457</v>
      </c>
      <c r="B122" s="44" t="s">
        <v>109</v>
      </c>
      <c r="C122" s="50" t="s">
        <v>311</v>
      </c>
      <c r="D122" s="171">
        <v>1</v>
      </c>
      <c r="E122" s="50" t="s">
        <v>70</v>
      </c>
      <c r="F122" s="98">
        <v>180</v>
      </c>
      <c r="G122" s="44">
        <v>0.88</v>
      </c>
      <c r="H122" s="44">
        <v>0.2</v>
      </c>
      <c r="I122" s="44">
        <v>3.89</v>
      </c>
      <c r="J122" s="44">
        <v>0.5</v>
      </c>
      <c r="K122" s="45">
        <v>18</v>
      </c>
      <c r="L122" s="45">
        <v>2.63</v>
      </c>
      <c r="M122" s="44">
        <v>1.2</v>
      </c>
      <c r="N122" s="45">
        <v>2.7E-2</v>
      </c>
      <c r="O122" s="45">
        <v>11</v>
      </c>
      <c r="P122" s="45">
        <v>24</v>
      </c>
      <c r="Q122" s="45">
        <v>237</v>
      </c>
      <c r="R122" s="45">
        <v>5</v>
      </c>
      <c r="S122" s="45">
        <v>0.17</v>
      </c>
      <c r="T122" s="45">
        <v>5.8000000000000003E-2</v>
      </c>
      <c r="U122" s="45">
        <v>0.114</v>
      </c>
      <c r="V122" s="45">
        <v>0</v>
      </c>
      <c r="W122" s="45">
        <v>0</v>
      </c>
      <c r="X122" s="45">
        <v>0.54</v>
      </c>
      <c r="Y122" s="45">
        <v>0</v>
      </c>
      <c r="Z122" s="62">
        <v>0</v>
      </c>
      <c r="AA122" s="46">
        <v>123</v>
      </c>
      <c r="AB122" s="45">
        <v>13.7</v>
      </c>
      <c r="AC122" s="45">
        <v>3.6999999999999998E-2</v>
      </c>
      <c r="AD122" s="45">
        <v>1.9E-2</v>
      </c>
      <c r="AE122" s="44">
        <v>0.59399999999999997</v>
      </c>
      <c r="AF122" s="45">
        <v>8.8999999999999996E-2</v>
      </c>
      <c r="AG122" s="44">
        <v>0.08</v>
      </c>
      <c r="AH122" s="45">
        <v>0</v>
      </c>
      <c r="AI122" s="44">
        <v>6.7</v>
      </c>
      <c r="AJ122" s="44">
        <v>7.3</v>
      </c>
      <c r="AK122" s="44">
        <v>10</v>
      </c>
      <c r="AL122" s="45">
        <v>15</v>
      </c>
      <c r="AM122" s="44">
        <v>0.1</v>
      </c>
      <c r="AN122" s="45">
        <v>6.0000000000000001E-3</v>
      </c>
      <c r="AO122" s="45">
        <v>2.7E-2</v>
      </c>
      <c r="AP122" s="45">
        <v>1.7999999999999999E-2</v>
      </c>
      <c r="AQ122" s="45">
        <v>2.5000000000000001E-2</v>
      </c>
      <c r="AR122" s="45">
        <v>2.7E-2</v>
      </c>
      <c r="AS122" s="45">
        <v>6.0000000000000001E-3</v>
      </c>
      <c r="AT122" s="44">
        <v>8.0000000000000002E-3</v>
      </c>
      <c r="AU122" s="45">
        <v>2.7E-2</v>
      </c>
      <c r="AV122" s="45">
        <v>1.4E-2</v>
      </c>
      <c r="AW122" s="45">
        <v>1.7999999999999999E-2</v>
      </c>
      <c r="AX122" s="44">
        <v>2.1000000000000001E-2</v>
      </c>
      <c r="AY122" s="45">
        <v>2.7E-2</v>
      </c>
      <c r="AZ122" s="45">
        <v>0.13500000000000001</v>
      </c>
      <c r="BA122" s="45">
        <v>4.3099999999999999E-2</v>
      </c>
      <c r="BB122" s="45">
        <v>1.9E-2</v>
      </c>
      <c r="BC122" s="45">
        <v>1.4999999999999999E-2</v>
      </c>
      <c r="BD122" s="45">
        <v>2.5999999999999999E-2</v>
      </c>
      <c r="BE122" s="45">
        <v>0</v>
      </c>
      <c r="BF122" s="44">
        <v>3.1E-2</v>
      </c>
      <c r="BG122" s="44" t="str">
        <f t="shared" si="1"/>
        <v>new Food('170457','Tomatoes red','Ingred','1','cup','180',['0.88','0.2','3.89','0.5','18','2.63','1.2','0.027','11','24','237','5','0.17','0.058','0.114','0','0','0.54','0','0','123','13.7','0.037','0.019','0.594','0.089','0.08','0','6.7','7.3','10','15','0.1','0.006','0.027','0.018','0.025','0.027','0.006','0.008','0.027','0.014','0.018','0.021','0.027','0.135','0.0431','0.019','0.015','0.026','0','0.031']),</v>
      </c>
    </row>
    <row r="123" spans="1:71" s="44" customFormat="1" ht="15.6">
      <c r="A123" s="98">
        <v>2341898</v>
      </c>
      <c r="B123" s="44" t="s">
        <v>247</v>
      </c>
      <c r="C123" s="50" t="s">
        <v>311</v>
      </c>
      <c r="D123" s="171">
        <v>2</v>
      </c>
      <c r="E123" s="50" t="s">
        <v>411</v>
      </c>
      <c r="F123" s="110">
        <v>2</v>
      </c>
      <c r="G123" s="63">
        <v>7.92</v>
      </c>
      <c r="H123" s="56">
        <v>4.93</v>
      </c>
      <c r="I123" s="44">
        <v>14.52</v>
      </c>
      <c r="J123" s="44">
        <v>0</v>
      </c>
      <c r="K123" s="56">
        <v>133</v>
      </c>
      <c r="L123" s="56">
        <v>0.65</v>
      </c>
      <c r="M123" s="63">
        <v>1.3</v>
      </c>
      <c r="N123" s="56">
        <v>0.78</v>
      </c>
      <c r="O123" s="56">
        <v>19</v>
      </c>
      <c r="P123" s="56">
        <v>71</v>
      </c>
      <c r="Q123" s="56">
        <v>293</v>
      </c>
      <c r="R123" s="56">
        <v>305</v>
      </c>
      <c r="S123" s="56">
        <v>1.33</v>
      </c>
      <c r="T123" s="44">
        <v>0.13800000000000001</v>
      </c>
      <c r="U123" s="56">
        <v>0</v>
      </c>
      <c r="V123" s="56">
        <v>7.1</v>
      </c>
      <c r="W123" s="56">
        <v>0</v>
      </c>
      <c r="X123" s="56">
        <v>0.56999999999999995</v>
      </c>
      <c r="Y123" s="56">
        <v>0</v>
      </c>
      <c r="Z123" s="62">
        <v>0</v>
      </c>
      <c r="AA123" s="56">
        <v>7</v>
      </c>
      <c r="AB123" s="56">
        <v>5.4</v>
      </c>
      <c r="AC123" s="56">
        <v>8.5999999999999993E-2</v>
      </c>
      <c r="AD123" s="56">
        <v>4.9000000000000002E-2</v>
      </c>
      <c r="AE123" s="63">
        <v>2.1190000000000002</v>
      </c>
      <c r="AF123" s="56">
        <v>0.37</v>
      </c>
      <c r="AG123" s="63">
        <v>0.28299999999999997</v>
      </c>
      <c r="AH123" s="56">
        <v>0.37</v>
      </c>
      <c r="AI123" s="44">
        <v>35</v>
      </c>
      <c r="AJ123" s="56">
        <v>5.0999999999999996</v>
      </c>
      <c r="AK123" s="44">
        <v>9</v>
      </c>
      <c r="AL123" s="63">
        <v>9</v>
      </c>
      <c r="AM123" s="44">
        <v>0</v>
      </c>
      <c r="AN123" s="56">
        <v>0</v>
      </c>
      <c r="AO123" s="56">
        <v>0</v>
      </c>
      <c r="AP123" s="56">
        <v>0</v>
      </c>
      <c r="AQ123" s="56">
        <v>0</v>
      </c>
      <c r="AR123" s="56">
        <v>0</v>
      </c>
      <c r="AS123" s="56">
        <v>0</v>
      </c>
      <c r="AT123" s="56">
        <v>0</v>
      </c>
      <c r="AU123" s="56">
        <v>0</v>
      </c>
      <c r="AV123" s="56">
        <v>0</v>
      </c>
      <c r="AW123" s="56">
        <v>0</v>
      </c>
      <c r="AX123" s="44">
        <v>0</v>
      </c>
      <c r="AY123" s="44">
        <v>0</v>
      </c>
      <c r="AZ123" s="44">
        <v>0</v>
      </c>
      <c r="BA123" s="56">
        <v>0</v>
      </c>
      <c r="BB123" s="56">
        <v>0</v>
      </c>
      <c r="BC123" s="56">
        <v>0</v>
      </c>
      <c r="BD123" s="56">
        <v>0</v>
      </c>
      <c r="BE123" s="56">
        <v>20</v>
      </c>
      <c r="BF123" s="56">
        <v>2.0070000000000001</v>
      </c>
      <c r="BG123" s="44" t="str">
        <f t="shared" si="1"/>
        <v>new Food('2341898','Vegetable oil','Ingred','2','gm','2',['7.92','4.93','14.52','0','133','0.65','1.3','0.78','19','71','293','305','1.33','0.138','0','7.1','0','0.57','0','0','7','5.4','0.086','0.049','2.119','0.37','0.283','0.37','35','5.1','9','9','0','0','0','0','0','0','0','0','0','0','0','0','0','0','0','0','0','0','20','2.007']),</v>
      </c>
    </row>
    <row r="124" spans="1:71" s="44" customFormat="1" ht="15.75" customHeight="1">
      <c r="A124" s="97">
        <v>170067</v>
      </c>
      <c r="B124" s="61" t="s">
        <v>364</v>
      </c>
      <c r="C124" s="60" t="s">
        <v>311</v>
      </c>
      <c r="D124" s="173">
        <v>0.5</v>
      </c>
      <c r="E124" s="58" t="s">
        <v>70</v>
      </c>
      <c r="F124" s="112">
        <v>70</v>
      </c>
      <c r="G124" s="62">
        <v>0.88</v>
      </c>
      <c r="H124" s="46">
        <v>0.06</v>
      </c>
      <c r="I124" s="62">
        <v>12.3</v>
      </c>
      <c r="J124" s="62">
        <v>0.34</v>
      </c>
      <c r="K124" s="62">
        <v>50</v>
      </c>
      <c r="L124" s="46">
        <v>2.46</v>
      </c>
      <c r="M124" s="62">
        <v>2.5</v>
      </c>
      <c r="N124" s="46">
        <v>0.87</v>
      </c>
      <c r="O124" s="62">
        <v>0.161</v>
      </c>
      <c r="P124" s="62">
        <v>19</v>
      </c>
      <c r="Q124" s="46">
        <v>118</v>
      </c>
      <c r="R124" s="62">
        <v>8</v>
      </c>
      <c r="S124" s="46">
        <v>0.38</v>
      </c>
      <c r="T124" s="46">
        <v>0.1</v>
      </c>
      <c r="U124" s="46">
        <v>0</v>
      </c>
      <c r="V124" s="46">
        <v>0.7</v>
      </c>
      <c r="W124" s="46">
        <v>0</v>
      </c>
      <c r="X124" s="62">
        <v>0.5</v>
      </c>
      <c r="Y124" s="62">
        <v>0</v>
      </c>
      <c r="Z124" s="46">
        <v>0</v>
      </c>
      <c r="AA124" s="46">
        <v>0</v>
      </c>
      <c r="AB124" s="46">
        <v>1.3</v>
      </c>
      <c r="AC124" s="46">
        <v>1.0999999999999999E-2</v>
      </c>
      <c r="AD124" s="46">
        <v>2.4E-2</v>
      </c>
      <c r="AE124" s="46">
        <v>0.36</v>
      </c>
      <c r="AF124" s="46">
        <v>0.221</v>
      </c>
      <c r="AG124" s="46">
        <v>0.159</v>
      </c>
      <c r="AH124" s="46">
        <v>0</v>
      </c>
      <c r="AI124" s="46">
        <v>18.5</v>
      </c>
      <c r="AJ124" s="46">
        <v>0.2</v>
      </c>
      <c r="AK124" s="46">
        <v>4</v>
      </c>
      <c r="AL124" s="46">
        <v>6</v>
      </c>
      <c r="AM124" s="46">
        <v>0</v>
      </c>
      <c r="AN124" s="46">
        <v>0</v>
      </c>
      <c r="AO124" s="46">
        <v>0</v>
      </c>
      <c r="AP124" s="46">
        <v>0</v>
      </c>
      <c r="AQ124" s="46">
        <v>0</v>
      </c>
      <c r="AR124" s="46">
        <v>5</v>
      </c>
      <c r="AS124" s="46">
        <v>0</v>
      </c>
      <c r="AT124" s="46">
        <v>0</v>
      </c>
      <c r="AU124" s="46">
        <v>0</v>
      </c>
      <c r="AV124" s="46">
        <v>0</v>
      </c>
      <c r="AW124" s="46">
        <v>0</v>
      </c>
      <c r="AX124" s="46">
        <v>0</v>
      </c>
      <c r="AY124" s="46">
        <v>0</v>
      </c>
      <c r="AZ124" s="46">
        <v>0</v>
      </c>
      <c r="BA124" s="46">
        <v>0</v>
      </c>
      <c r="BB124" s="46">
        <v>0</v>
      </c>
      <c r="BC124" s="46">
        <v>0</v>
      </c>
      <c r="BD124" s="46">
        <v>0</v>
      </c>
      <c r="BE124" s="46">
        <v>0</v>
      </c>
      <c r="BF124" s="46">
        <v>1E-3</v>
      </c>
      <c r="BG124" s="44" t="str">
        <f t="shared" si="1"/>
        <v>new Food('170067','Waterchestnuts','Ingred','0.5','cup','70',['0.88','0.06','12.3','0.34','50','2.46','2.5','0.87','0.161','19','118','8','0.38','0.1','0','0.7','0','0.5','0','0','0','1.3','0.011','0.024','0.36','0.221','0.159','0','18.5','0.2','4','6','0','0','0','0','0','5','0','0','0','0','0','0','0','0','0','0','0','0','0','0.001']),</v>
      </c>
      <c r="BR124" s="116"/>
      <c r="BS124" s="116"/>
    </row>
    <row r="125" spans="1:71" s="62" customFormat="1" ht="15.6">
      <c r="A125"/>
      <c r="B125"/>
      <c r="C125"/>
      <c r="D125" s="182"/>
      <c r="E125"/>
      <c r="F125"/>
      <c r="G125"/>
      <c r="H125"/>
      <c r="I125" s="24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s="32"/>
      <c r="AA125" s="32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</row>
    <row r="126" spans="1:71" s="44" customFormat="1" ht="15.75" customHeight="1">
      <c r="A126"/>
      <c r="B126"/>
      <c r="C126"/>
      <c r="D126" s="182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s="32"/>
      <c r="AA126" s="32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</row>
    <row r="127" spans="1:71" s="44" customFormat="1" ht="15.75" customHeight="1">
      <c r="A127"/>
      <c r="B127"/>
      <c r="C127"/>
      <c r="D127" s="182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 s="32"/>
      <c r="AA127" s="32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</row>
    <row r="128" spans="1:71" s="44" customFormat="1" ht="15.75" customHeight="1">
      <c r="A128"/>
      <c r="B128"/>
      <c r="C128"/>
      <c r="D128" s="182"/>
      <c r="E128"/>
      <c r="F128"/>
      <c r="G128"/>
      <c r="H128" s="24"/>
      <c r="I128" s="24"/>
      <c r="J128"/>
      <c r="K128" s="24"/>
      <c r="L128"/>
      <c r="M128"/>
      <c r="N128"/>
      <c r="O128"/>
      <c r="P128"/>
      <c r="Q128"/>
      <c r="R128"/>
      <c r="S128"/>
      <c r="T128"/>
      <c r="U128"/>
      <c r="V128" s="24"/>
      <c r="W128" s="24"/>
      <c r="X128" s="24"/>
      <c r="Y128" s="24"/>
      <c r="Z128" s="32"/>
      <c r="AA128" s="32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</row>
    <row r="131" spans="1:71" s="44" customFormat="1" ht="15.75" customHeight="1">
      <c r="A131"/>
      <c r="B131"/>
      <c r="C131"/>
      <c r="D131" s="182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 s="32"/>
      <c r="AA131" s="32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</row>
    <row r="132" spans="1:71" s="44" customFormat="1" ht="15.75" customHeight="1">
      <c r="A132"/>
      <c r="B132"/>
      <c r="C132"/>
      <c r="D132" s="18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 s="32"/>
      <c r="AA132" s="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</row>
    <row r="133" spans="1:71" s="116" customFormat="1" ht="15.6">
      <c r="A133"/>
      <c r="B133"/>
      <c r="C133"/>
      <c r="D133" s="182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 s="32"/>
      <c r="AA133" s="32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</row>
    <row r="134" spans="1:71" s="116" customFormat="1" ht="15" customHeight="1">
      <c r="A134"/>
      <c r="B134"/>
      <c r="C134"/>
      <c r="D134" s="182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32"/>
      <c r="AA134" s="32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</row>
    <row r="135" spans="1:71" s="44" customFormat="1" ht="15" customHeight="1">
      <c r="A135"/>
      <c r="B135"/>
      <c r="C135"/>
      <c r="D135" s="182"/>
      <c r="E135"/>
      <c r="F135"/>
      <c r="G135"/>
      <c r="H135"/>
      <c r="I135"/>
      <c r="J135"/>
      <c r="K135" s="24"/>
      <c r="L135"/>
      <c r="M135"/>
      <c r="N135"/>
      <c r="O135"/>
      <c r="P135"/>
      <c r="Q135"/>
      <c r="R135"/>
      <c r="S135"/>
      <c r="T135"/>
      <c r="U135"/>
      <c r="V135" s="24"/>
      <c r="W135" s="24"/>
      <c r="X135" s="24"/>
      <c r="Y135" s="24"/>
      <c r="Z135" s="32"/>
      <c r="AA135" s="32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</row>
    <row r="136" spans="1:71" s="44" customFormat="1" ht="15" customHeight="1">
      <c r="A136" s="97"/>
      <c r="B136"/>
      <c r="C136" s="50"/>
      <c r="D136" s="174"/>
      <c r="E136" s="60"/>
      <c r="F136" s="97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32"/>
      <c r="AA136" s="32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</row>
    <row r="137" spans="1:71" s="44" customFormat="1" ht="15" customHeight="1">
      <c r="A137" s="97"/>
      <c r="B137" s="61"/>
      <c r="C137" s="50"/>
      <c r="D137" s="174"/>
      <c r="E137" s="60"/>
      <c r="F137" s="97"/>
      <c r="G137" s="56"/>
      <c r="H137" s="63"/>
      <c r="I137" s="56"/>
      <c r="J137" s="63"/>
      <c r="K137" s="63"/>
      <c r="L137" s="63"/>
      <c r="M137" s="56"/>
      <c r="N137" s="56"/>
      <c r="O137" s="56"/>
      <c r="P137" s="56"/>
      <c r="Q137" s="56"/>
      <c r="R137" s="56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56"/>
      <c r="AF137" s="63"/>
      <c r="AG137" s="63"/>
      <c r="AH137" s="56"/>
      <c r="AI137" s="56"/>
      <c r="AJ137" s="56"/>
      <c r="AK137" s="63"/>
      <c r="AL137" s="56"/>
      <c r="AM137" s="56"/>
      <c r="AN137" s="56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1"/>
      <c r="AZ137" s="63"/>
      <c r="BA137" s="56"/>
      <c r="BB137" s="56"/>
      <c r="BC137" s="56"/>
      <c r="BD137" s="56"/>
      <c r="BE137" s="56"/>
      <c r="BF137" s="63"/>
    </row>
    <row r="138" spans="1:71" s="49" customFormat="1" ht="30.75" customHeight="1">
      <c r="A138" s="105"/>
      <c r="B138" s="135"/>
      <c r="C138" s="51"/>
      <c r="D138" s="171"/>
      <c r="E138" s="50"/>
      <c r="F138" s="50"/>
      <c r="G138" s="51" t="s">
        <v>123</v>
      </c>
      <c r="H138" s="51" t="s">
        <v>124</v>
      </c>
      <c r="I138" s="51" t="s">
        <v>125</v>
      </c>
      <c r="J138" s="51" t="s">
        <v>128</v>
      </c>
      <c r="K138" s="51" t="s">
        <v>141</v>
      </c>
      <c r="L138" s="51" t="s">
        <v>173</v>
      </c>
      <c r="M138" s="51" t="s">
        <v>126</v>
      </c>
      <c r="N138" s="51" t="s">
        <v>150</v>
      </c>
      <c r="O138" s="51" t="s">
        <v>156</v>
      </c>
      <c r="P138" s="51" t="s">
        <v>163</v>
      </c>
      <c r="Q138" s="51" t="s">
        <v>164</v>
      </c>
      <c r="R138" s="51" t="s">
        <v>170</v>
      </c>
      <c r="S138" s="51" t="s">
        <v>189</v>
      </c>
      <c r="T138" s="51" t="s">
        <v>137</v>
      </c>
      <c r="U138" s="51" t="s">
        <v>158</v>
      </c>
      <c r="V138" s="51" t="s">
        <v>168</v>
      </c>
      <c r="W138" s="51" t="s">
        <v>166</v>
      </c>
      <c r="X138" s="51" t="s">
        <v>187</v>
      </c>
      <c r="Y138" s="51" t="s">
        <v>185</v>
      </c>
      <c r="Z138" s="137" t="s">
        <v>138</v>
      </c>
      <c r="AA138" s="137" t="s">
        <v>211</v>
      </c>
      <c r="AB138" s="51" t="s">
        <v>184</v>
      </c>
      <c r="AC138" s="51" t="s">
        <v>212</v>
      </c>
      <c r="AD138" s="51" t="s">
        <v>213</v>
      </c>
      <c r="AE138" s="51" t="s">
        <v>160</v>
      </c>
      <c r="AF138" s="51" t="s">
        <v>161</v>
      </c>
      <c r="AG138" s="51" t="s">
        <v>214</v>
      </c>
      <c r="AH138" s="51" t="s">
        <v>215</v>
      </c>
      <c r="AI138" s="51" t="s">
        <v>216</v>
      </c>
      <c r="AJ138" s="51" t="s">
        <v>188</v>
      </c>
      <c r="AK138" s="51" t="s">
        <v>131</v>
      </c>
      <c r="AL138" s="51" t="s">
        <v>143</v>
      </c>
      <c r="AM138" s="51" t="s">
        <v>130</v>
      </c>
      <c r="AN138" s="51" t="s">
        <v>177</v>
      </c>
      <c r="AO138" s="51" t="s">
        <v>176</v>
      </c>
      <c r="AP138" s="51" t="s">
        <v>151</v>
      </c>
      <c r="AQ138" s="51" t="s">
        <v>152</v>
      </c>
      <c r="AR138" s="51" t="s">
        <v>155</v>
      </c>
      <c r="AS138" s="51" t="s">
        <v>217</v>
      </c>
      <c r="AT138" s="51" t="s">
        <v>139</v>
      </c>
      <c r="AU138" s="51" t="s">
        <v>162</v>
      </c>
      <c r="AV138" s="51" t="s">
        <v>178</v>
      </c>
      <c r="AW138" s="51" t="s">
        <v>218</v>
      </c>
      <c r="AX138" s="51" t="s">
        <v>135</v>
      </c>
      <c r="AY138" s="51" t="s">
        <v>127</v>
      </c>
      <c r="AZ138" s="51" t="s">
        <v>129</v>
      </c>
      <c r="BA138" s="51" t="s">
        <v>147</v>
      </c>
      <c r="BB138" s="51" t="s">
        <v>148</v>
      </c>
      <c r="BC138" s="51" t="s">
        <v>165</v>
      </c>
      <c r="BD138" s="51" t="s">
        <v>169</v>
      </c>
      <c r="BE138" s="51" t="s">
        <v>134</v>
      </c>
      <c r="BF138" s="51" t="s">
        <v>142</v>
      </c>
    </row>
    <row r="139" spans="1:71" s="44" customFormat="1" ht="15" customHeight="1">
      <c r="A139" s="97"/>
      <c r="B139" s="61"/>
      <c r="C139" s="50"/>
      <c r="D139" s="174"/>
      <c r="E139" s="60"/>
      <c r="F139" s="97"/>
    </row>
    <row r="140" spans="1:71" s="44" customFormat="1" ht="15" customHeight="1">
      <c r="A140" s="101"/>
      <c r="B140" s="129"/>
      <c r="C140" s="45"/>
      <c r="D140" s="171"/>
      <c r="E140" s="50"/>
      <c r="F140" s="84"/>
      <c r="G140" s="144"/>
      <c r="H140" s="117"/>
      <c r="I140" s="117"/>
      <c r="J140" s="117"/>
      <c r="K140" s="117"/>
      <c r="L140" s="117"/>
      <c r="M140" s="117"/>
      <c r="N140" s="117"/>
      <c r="O140" s="117"/>
      <c r="P140" s="117"/>
      <c r="Q140" s="144"/>
      <c r="R140" s="117"/>
      <c r="S140" s="117"/>
      <c r="T140" s="117"/>
      <c r="U140" s="117"/>
      <c r="V140" s="117"/>
      <c r="W140" s="144"/>
      <c r="X140" s="117"/>
      <c r="Y140" s="117"/>
      <c r="Z140" s="117"/>
      <c r="AA140" s="117"/>
      <c r="AB140" s="117"/>
      <c r="AC140" s="117"/>
      <c r="AD140" s="117"/>
      <c r="AE140" s="117"/>
      <c r="AF140" s="144"/>
      <c r="AG140" s="117"/>
      <c r="AH140" s="117"/>
      <c r="AI140" s="117"/>
      <c r="AJ140" s="144"/>
      <c r="AK140" s="117"/>
      <c r="AL140" s="144"/>
      <c r="AM140" s="144"/>
      <c r="AN140" s="144"/>
      <c r="AO140" s="117"/>
      <c r="AP140" s="117"/>
      <c r="AQ140" s="117"/>
      <c r="AR140" s="117"/>
      <c r="AS140" s="117"/>
      <c r="AT140" s="117"/>
      <c r="AU140" s="144"/>
      <c r="AV140" s="117"/>
      <c r="AW140" s="117"/>
      <c r="AX140" s="117"/>
      <c r="AY140" s="144"/>
      <c r="AZ140" s="117"/>
      <c r="BA140" s="117"/>
      <c r="BB140" s="117"/>
      <c r="BC140" s="144"/>
      <c r="BD140" s="144"/>
      <c r="BE140" s="144"/>
      <c r="BF140" s="144"/>
      <c r="BG140" s="144"/>
    </row>
    <row r="143" spans="1:71" s="116" customFormat="1" ht="15" customHeight="1">
      <c r="A143" s="116">
        <v>9</v>
      </c>
      <c r="B143" s="116" t="s">
        <v>342</v>
      </c>
      <c r="C143" s="50" t="s">
        <v>88</v>
      </c>
      <c r="D143" s="173">
        <v>1</v>
      </c>
      <c r="E143" s="58" t="s">
        <v>408</v>
      </c>
      <c r="F143" s="117"/>
      <c r="G143" s="166">
        <v>18.97</v>
      </c>
      <c r="H143" s="150">
        <v>73.12</v>
      </c>
      <c r="I143" s="150">
        <v>62.78</v>
      </c>
      <c r="J143" s="150">
        <v>1.78</v>
      </c>
      <c r="K143" s="150">
        <v>929.01</v>
      </c>
      <c r="L143" s="150">
        <v>32.619999999999997</v>
      </c>
      <c r="M143" s="150">
        <v>10.59</v>
      </c>
      <c r="N143" s="150">
        <v>4.47</v>
      </c>
      <c r="O143" s="150">
        <v>194.25</v>
      </c>
      <c r="P143" s="150">
        <v>434.75</v>
      </c>
      <c r="Q143" s="150" t="s">
        <v>363</v>
      </c>
      <c r="R143" s="150">
        <v>33.25</v>
      </c>
      <c r="S143" s="150">
        <v>4.22</v>
      </c>
      <c r="T143" s="150">
        <v>1.76</v>
      </c>
      <c r="U143" s="150">
        <v>3.41</v>
      </c>
      <c r="V143" s="150">
        <v>7.06</v>
      </c>
      <c r="W143" s="150">
        <v>13.5</v>
      </c>
      <c r="X143" s="150">
        <v>1.89</v>
      </c>
      <c r="Y143" s="150">
        <v>0</v>
      </c>
      <c r="Z143" s="150">
        <v>520</v>
      </c>
      <c r="AA143" s="151">
        <v>501.63</v>
      </c>
      <c r="AB143" s="150">
        <v>64.69</v>
      </c>
      <c r="AC143" s="150">
        <v>0.53</v>
      </c>
      <c r="AD143" s="150">
        <v>0.3</v>
      </c>
      <c r="AE143" s="150">
        <v>2.88</v>
      </c>
      <c r="AF143" s="150">
        <v>0.56999999999999995</v>
      </c>
      <c r="AG143" s="150">
        <v>0.7</v>
      </c>
      <c r="AH143" s="150">
        <v>0.44</v>
      </c>
      <c r="AI143" s="150">
        <v>67.47</v>
      </c>
      <c r="AJ143" s="150">
        <v>40.18</v>
      </c>
      <c r="AK143" s="150">
        <v>148.18</v>
      </c>
      <c r="AL143" s="166">
        <v>168.18</v>
      </c>
      <c r="AM143" s="150">
        <v>0.3</v>
      </c>
      <c r="AN143" s="166">
        <v>0.17</v>
      </c>
      <c r="AO143" s="150">
        <v>0.6</v>
      </c>
      <c r="AP143" s="150">
        <v>0.63</v>
      </c>
      <c r="AQ143" s="150">
        <v>1.17</v>
      </c>
      <c r="AR143" s="150">
        <v>0.42</v>
      </c>
      <c r="AS143" s="150">
        <v>0.24</v>
      </c>
      <c r="AT143" s="150">
        <v>0.21</v>
      </c>
      <c r="AU143" s="150">
        <v>0.71</v>
      </c>
      <c r="AV143" s="150">
        <v>0.41</v>
      </c>
      <c r="AW143" s="150">
        <v>0.75</v>
      </c>
      <c r="AX143" s="150">
        <v>2.2799999999999998</v>
      </c>
      <c r="AY143" s="150">
        <v>0.7</v>
      </c>
      <c r="AZ143" s="150">
        <v>1.83</v>
      </c>
      <c r="BA143" s="150">
        <v>2.82</v>
      </c>
      <c r="BB143" s="150">
        <v>0.82</v>
      </c>
      <c r="BC143" s="150">
        <v>0.71</v>
      </c>
      <c r="BD143" s="150">
        <v>0.93</v>
      </c>
      <c r="BE143" s="150">
        <v>3.75</v>
      </c>
      <c r="BF143" s="150">
        <v>13.6</v>
      </c>
      <c r="BG143" s="44" t="str">
        <f>"new Meal('"&amp;A143&amp;"','"&amp;B143&amp;"','"&amp;C143&amp;"','"&amp;D143&amp;"','"&amp;E143&amp;"'),"</f>
        <v>new Meal('9','Waldorf Salad','Veg','1','serving'),</v>
      </c>
    </row>
    <row r="144" spans="1:71" s="44" customFormat="1" ht="15.75" customHeight="1">
      <c r="A144" s="98">
        <v>6</v>
      </c>
      <c r="B144" s="44" t="s">
        <v>330</v>
      </c>
      <c r="C144" s="50" t="s">
        <v>207</v>
      </c>
      <c r="D144" s="173">
        <v>2</v>
      </c>
      <c r="E144" s="58" t="s">
        <v>374</v>
      </c>
      <c r="F144" s="117">
        <v>275.88</v>
      </c>
      <c r="G144" s="141">
        <v>30.2</v>
      </c>
      <c r="H144" s="142">
        <v>57.87</v>
      </c>
      <c r="I144" s="142">
        <v>27.59</v>
      </c>
      <c r="J144" s="142">
        <v>3.86</v>
      </c>
      <c r="K144" s="142">
        <v>744.61</v>
      </c>
      <c r="L144" s="142">
        <v>7.11</v>
      </c>
      <c r="M144" s="142">
        <v>3.6</v>
      </c>
      <c r="N144" s="142">
        <v>1.76</v>
      </c>
      <c r="O144" s="142">
        <v>48.55</v>
      </c>
      <c r="P144" s="142">
        <v>556.08000000000004</v>
      </c>
      <c r="Q144" s="142">
        <v>521</v>
      </c>
      <c r="R144" s="142">
        <v>792.88</v>
      </c>
      <c r="S144" s="142">
        <v>3.86</v>
      </c>
      <c r="T144" s="142">
        <v>0.1</v>
      </c>
      <c r="U144" s="142">
        <v>0.05</v>
      </c>
      <c r="V144" s="142">
        <v>20.399999999999999</v>
      </c>
      <c r="W144" s="142">
        <v>292.17</v>
      </c>
      <c r="X144" s="142">
        <v>1.22</v>
      </c>
      <c r="Y144" s="142">
        <v>21</v>
      </c>
      <c r="Z144" s="142">
        <v>7.56</v>
      </c>
      <c r="AA144" s="142">
        <v>371.61</v>
      </c>
      <c r="AB144" s="142">
        <v>15.64</v>
      </c>
      <c r="AC144" s="142">
        <v>0.11</v>
      </c>
      <c r="AD144" s="142">
        <v>0.55000000000000004</v>
      </c>
      <c r="AE144" s="142">
        <v>0.86</v>
      </c>
      <c r="AF144" s="142">
        <v>0.27</v>
      </c>
      <c r="AG144" s="142">
        <v>0.21</v>
      </c>
      <c r="AH144" s="142">
        <v>1.53</v>
      </c>
      <c r="AI144" s="142">
        <v>48.31</v>
      </c>
      <c r="AJ144" s="142">
        <v>31.76</v>
      </c>
      <c r="AK144" s="142">
        <v>725.13</v>
      </c>
      <c r="AL144" s="142">
        <v>58.58</v>
      </c>
      <c r="AM144" s="142">
        <v>0.23</v>
      </c>
      <c r="AN144" s="142">
        <v>0.36</v>
      </c>
      <c r="AO144" s="142">
        <v>0.87</v>
      </c>
      <c r="AP144" s="142">
        <v>1.36</v>
      </c>
      <c r="AQ144" s="142">
        <v>2.17</v>
      </c>
      <c r="AR144" s="142">
        <v>1.66</v>
      </c>
      <c r="AS144" s="142">
        <v>0.6</v>
      </c>
      <c r="AT144" s="142">
        <v>0.12</v>
      </c>
      <c r="AU144" s="142">
        <v>1.2</v>
      </c>
      <c r="AV144" s="142">
        <v>1.1299999999999999</v>
      </c>
      <c r="AW144" s="142">
        <v>1.51</v>
      </c>
      <c r="AX144" s="142">
        <v>0.79</v>
      </c>
      <c r="AY144" s="142">
        <v>0.05</v>
      </c>
      <c r="AZ144" s="142">
        <v>1.61</v>
      </c>
      <c r="BA144" s="142">
        <v>5.42</v>
      </c>
      <c r="BB144" s="142">
        <v>0.41</v>
      </c>
      <c r="BC144" s="142">
        <v>2.58</v>
      </c>
      <c r="BD144" s="142">
        <v>1.2</v>
      </c>
      <c r="BE144" s="142">
        <v>157.83000000000001</v>
      </c>
      <c r="BF144" s="142">
        <v>12.8</v>
      </c>
      <c r="BG144" s="44" t="str">
        <f t="shared" ref="BG144:BG154" si="2">"new Meal('"&amp;A144&amp;"','"&amp;B144&amp;"','"&amp;C144&amp;"','"&amp;D144&amp;"','"&amp;E144&amp;"'),"</f>
        <v>new Meal('6','Tacos','Entre','2','tacos'),</v>
      </c>
    </row>
    <row r="145" spans="1:71" s="44" customFormat="1" ht="15.75" customHeight="1">
      <c r="A145" s="98">
        <v>2</v>
      </c>
      <c r="B145" s="44" t="s">
        <v>272</v>
      </c>
      <c r="C145" s="50" t="s">
        <v>207</v>
      </c>
      <c r="D145" s="173">
        <v>1</v>
      </c>
      <c r="E145" s="58" t="s">
        <v>408</v>
      </c>
      <c r="F145" s="117"/>
      <c r="G145" s="150">
        <v>10.28</v>
      </c>
      <c r="H145" s="150">
        <v>8.0299999999999994</v>
      </c>
      <c r="I145" s="150">
        <v>14.96</v>
      </c>
      <c r="J145" s="150">
        <v>0</v>
      </c>
      <c r="K145" s="150">
        <v>169.75</v>
      </c>
      <c r="L145" s="150">
        <v>93.63</v>
      </c>
      <c r="M145" s="150">
        <v>1.58</v>
      </c>
      <c r="N145" s="150">
        <v>0.81</v>
      </c>
      <c r="O145" s="150">
        <v>27.88</v>
      </c>
      <c r="P145" s="150">
        <v>114.38</v>
      </c>
      <c r="Q145" s="150">
        <v>264.42</v>
      </c>
      <c r="R145" s="150">
        <v>215.88</v>
      </c>
      <c r="S145" s="150">
        <v>0.96</v>
      </c>
      <c r="T145" s="150">
        <v>0.06</v>
      </c>
      <c r="U145" s="150">
        <v>0</v>
      </c>
      <c r="V145" s="150">
        <v>8.3000000000000007</v>
      </c>
      <c r="W145" s="150">
        <v>54.33</v>
      </c>
      <c r="X145" s="150">
        <v>1.21</v>
      </c>
      <c r="Y145" s="150">
        <v>0</v>
      </c>
      <c r="Z145" s="150">
        <v>47.17</v>
      </c>
      <c r="AA145" s="150">
        <v>506.17</v>
      </c>
      <c r="AB145" s="150">
        <v>11.21</v>
      </c>
      <c r="AC145" s="150">
        <v>0.11</v>
      </c>
      <c r="AD145" s="150">
        <v>0.19</v>
      </c>
      <c r="AE145" s="150">
        <v>2.3199999999999998</v>
      </c>
      <c r="AF145" s="150">
        <v>0</v>
      </c>
      <c r="AG145" s="150">
        <v>0.14000000000000001</v>
      </c>
      <c r="AH145" s="150">
        <v>0.37</v>
      </c>
      <c r="AI145" s="150">
        <v>30.79</v>
      </c>
      <c r="AJ145" s="150">
        <v>35.619999999999997</v>
      </c>
      <c r="AK145" s="150">
        <v>24.125</v>
      </c>
      <c r="AL145" s="150">
        <v>33.46</v>
      </c>
      <c r="AM145" s="150">
        <v>0</v>
      </c>
      <c r="AN145" s="150">
        <v>0</v>
      </c>
      <c r="AO145" s="150">
        <v>0</v>
      </c>
      <c r="AP145" s="150">
        <v>0</v>
      </c>
      <c r="AQ145" s="150">
        <v>0</v>
      </c>
      <c r="AR145" s="150">
        <v>0</v>
      </c>
      <c r="AS145" s="150">
        <v>0</v>
      </c>
      <c r="AT145" s="150">
        <v>0</v>
      </c>
      <c r="AU145" s="150">
        <v>0</v>
      </c>
      <c r="AV145" s="150">
        <v>0</v>
      </c>
      <c r="AW145" s="150">
        <v>0</v>
      </c>
      <c r="AX145" s="150">
        <v>0</v>
      </c>
      <c r="AY145" s="150">
        <v>0</v>
      </c>
      <c r="AZ145" s="150">
        <v>0</v>
      </c>
      <c r="BA145" s="150">
        <v>0</v>
      </c>
      <c r="BB145" s="150">
        <v>0</v>
      </c>
      <c r="BC145" s="150">
        <v>0</v>
      </c>
      <c r="BD145" s="150">
        <v>0</v>
      </c>
      <c r="BE145" s="150">
        <v>3.83</v>
      </c>
      <c r="BF145" s="150">
        <v>0.26</v>
      </c>
      <c r="BG145" s="44" t="str">
        <f t="shared" si="2"/>
        <v>new Meal('2','Tater Tot Hotdish','Entre','1','serving'),</v>
      </c>
      <c r="BH145"/>
      <c r="BI145"/>
      <c r="BJ145"/>
      <c r="BK145"/>
      <c r="BL145"/>
      <c r="BM145"/>
      <c r="BN145"/>
      <c r="BO145"/>
      <c r="BP145"/>
      <c r="BQ145"/>
      <c r="BR145"/>
    </row>
    <row r="146" spans="1:71" s="44" customFormat="1" ht="15.75" customHeight="1">
      <c r="A146" s="98">
        <v>5</v>
      </c>
      <c r="B146" s="44" t="s">
        <v>326</v>
      </c>
      <c r="C146" s="50" t="s">
        <v>311</v>
      </c>
      <c r="D146" s="183" t="s">
        <v>428</v>
      </c>
      <c r="E146" s="58" t="s">
        <v>70</v>
      </c>
      <c r="F146" s="98">
        <v>36.880000000000003</v>
      </c>
      <c r="G146" s="46">
        <v>0.22</v>
      </c>
      <c r="H146" s="46">
        <v>0.05</v>
      </c>
      <c r="I146" s="46">
        <v>1.43</v>
      </c>
      <c r="J146" s="62">
        <v>0.06</v>
      </c>
      <c r="K146" s="46">
        <v>6.44</v>
      </c>
      <c r="L146" s="46">
        <v>0.95</v>
      </c>
      <c r="M146" s="46">
        <v>0.44</v>
      </c>
      <c r="N146" s="46">
        <v>0.04</v>
      </c>
      <c r="O146" s="46">
        <v>2.88</v>
      </c>
      <c r="P146" s="46">
        <v>6.75</v>
      </c>
      <c r="Q146" s="46">
        <v>56.5</v>
      </c>
      <c r="R146" s="46">
        <v>0.88</v>
      </c>
      <c r="S146" s="46">
        <v>0.04</v>
      </c>
      <c r="T146" s="46">
        <v>0.01</v>
      </c>
      <c r="U146" s="46">
        <v>0.01</v>
      </c>
      <c r="V146" s="46">
        <v>0.03</v>
      </c>
      <c r="W146" s="46">
        <v>0</v>
      </c>
      <c r="X146" s="46">
        <v>0.28999999999999998</v>
      </c>
      <c r="Y146" s="46">
        <v>0</v>
      </c>
      <c r="Z146" s="46">
        <v>6.56</v>
      </c>
      <c r="AA146" s="46">
        <v>69.44</v>
      </c>
      <c r="AB146" s="46">
        <v>9.64</v>
      </c>
      <c r="AC146" s="46">
        <v>0.01</v>
      </c>
      <c r="AD146" s="46">
        <v>0.01</v>
      </c>
      <c r="AE146" s="46">
        <v>0.16</v>
      </c>
      <c r="AF146" s="46">
        <v>0.01</v>
      </c>
      <c r="AG146" s="46">
        <v>0.04</v>
      </c>
      <c r="AH146" s="46">
        <v>0</v>
      </c>
      <c r="AI146" s="46">
        <v>1.69</v>
      </c>
      <c r="AJ146" s="46">
        <v>2.09</v>
      </c>
      <c r="AK146" s="46">
        <v>4.13</v>
      </c>
      <c r="AL146" s="46">
        <v>4.75</v>
      </c>
      <c r="AM146" s="46">
        <v>0.01</v>
      </c>
      <c r="AN146" s="46">
        <v>0</v>
      </c>
      <c r="AO146" s="46">
        <v>0</v>
      </c>
      <c r="AP146" s="46">
        <v>0</v>
      </c>
      <c r="AQ146" s="46">
        <v>0</v>
      </c>
      <c r="AR146" s="46">
        <v>0</v>
      </c>
      <c r="AS146" s="46">
        <v>0</v>
      </c>
      <c r="AT146" s="46">
        <v>0</v>
      </c>
      <c r="AU146" s="46">
        <v>0</v>
      </c>
      <c r="AV146" s="46">
        <v>0</v>
      </c>
      <c r="AW146" s="46">
        <v>0</v>
      </c>
      <c r="AX146" s="46">
        <v>0</v>
      </c>
      <c r="AY146" s="46">
        <v>0</v>
      </c>
      <c r="AZ146" s="46">
        <v>0.02</v>
      </c>
      <c r="BA146" s="46">
        <v>0.01</v>
      </c>
      <c r="BB146" s="46">
        <v>0</v>
      </c>
      <c r="BC146" s="46">
        <v>0</v>
      </c>
      <c r="BD146" s="46">
        <v>0</v>
      </c>
      <c r="BE146" s="46">
        <v>0</v>
      </c>
      <c r="BF146" s="46">
        <v>0.01</v>
      </c>
      <c r="BG146" s="44" t="str">
        <f t="shared" si="2"/>
        <v>new Meal('5','Salsa','Ingred','1/16','cup'),</v>
      </c>
    </row>
    <row r="147" spans="1:71" s="44" customFormat="1" ht="15" customHeight="1">
      <c r="A147" s="116">
        <v>11</v>
      </c>
      <c r="B147" s="116" t="s">
        <v>366</v>
      </c>
      <c r="C147" s="50" t="s">
        <v>88</v>
      </c>
      <c r="D147" s="173">
        <v>1</v>
      </c>
      <c r="E147" s="58" t="s">
        <v>408</v>
      </c>
      <c r="F147" s="152"/>
      <c r="G147" s="63">
        <v>13.52</v>
      </c>
      <c r="H147" s="56">
        <v>19.05</v>
      </c>
      <c r="I147" s="150">
        <v>12.59</v>
      </c>
      <c r="J147" s="150">
        <v>67.319999999999993</v>
      </c>
      <c r="K147" s="150">
        <v>220.83</v>
      </c>
      <c r="L147" s="63">
        <v>2.2799999999999998</v>
      </c>
      <c r="M147" s="166">
        <v>3.36</v>
      </c>
      <c r="N147" s="150">
        <v>1</v>
      </c>
      <c r="O147" s="56">
        <v>21.9</v>
      </c>
      <c r="P147" s="56">
        <v>99.03</v>
      </c>
      <c r="Q147" s="56">
        <v>234.2</v>
      </c>
      <c r="R147" s="56">
        <v>1300.3</v>
      </c>
      <c r="S147" s="63">
        <v>0.6</v>
      </c>
      <c r="T147" s="63">
        <v>0.17</v>
      </c>
      <c r="U147" s="63">
        <v>7.0000000000000007E-2</v>
      </c>
      <c r="V147" s="63">
        <v>13.33</v>
      </c>
      <c r="W147" s="63">
        <v>67</v>
      </c>
      <c r="X147" s="63">
        <v>3.47</v>
      </c>
      <c r="Y147" s="63">
        <v>34.799999999999997</v>
      </c>
      <c r="Z147" s="63">
        <v>11.2</v>
      </c>
      <c r="AA147" s="63">
        <v>552.79999999999995</v>
      </c>
      <c r="AB147" s="63">
        <v>2.98</v>
      </c>
      <c r="AC147" s="63">
        <v>0.09</v>
      </c>
      <c r="AD147" s="63">
        <v>0.23</v>
      </c>
      <c r="AE147" s="56">
        <v>0.75</v>
      </c>
      <c r="AF147" s="63">
        <v>0.76</v>
      </c>
      <c r="AG147" s="63">
        <v>0.19</v>
      </c>
      <c r="AH147" s="56">
        <v>0.5</v>
      </c>
      <c r="AI147" s="56">
        <v>135.87</v>
      </c>
      <c r="AJ147" s="56">
        <v>2.14</v>
      </c>
      <c r="AK147" s="56">
        <v>25.8</v>
      </c>
      <c r="AL147" s="56">
        <v>23.8</v>
      </c>
      <c r="AM147" s="56">
        <v>0.1</v>
      </c>
      <c r="AN147" s="63">
        <v>7.0000000000000007E-2</v>
      </c>
      <c r="AO147" s="63">
        <v>0.02</v>
      </c>
      <c r="AP147" s="63">
        <v>0.28000000000000003</v>
      </c>
      <c r="AQ147" s="63">
        <v>0.47</v>
      </c>
      <c r="AR147" s="63">
        <v>0.4</v>
      </c>
      <c r="AS147" s="63">
        <v>0.26</v>
      </c>
      <c r="AT147" s="63">
        <v>0.13</v>
      </c>
      <c r="AU147" s="63">
        <v>0.3</v>
      </c>
      <c r="AV147" s="63">
        <v>0.23</v>
      </c>
      <c r="AW147" s="63">
        <v>0.37</v>
      </c>
      <c r="AX147" s="63">
        <v>0.33</v>
      </c>
      <c r="AY147" s="63">
        <v>0.05</v>
      </c>
      <c r="AZ147" s="63">
        <v>0.67</v>
      </c>
      <c r="BA147" s="63">
        <v>0.5</v>
      </c>
      <c r="BB147" s="63">
        <v>0.19</v>
      </c>
      <c r="BC147" s="56">
        <v>0.23</v>
      </c>
      <c r="BD147" s="56">
        <v>0.4</v>
      </c>
      <c r="BE147" s="56">
        <v>151.33000000000001</v>
      </c>
      <c r="BF147" s="56">
        <v>10.72</v>
      </c>
      <c r="BG147" s="44" t="str">
        <f t="shared" si="2"/>
        <v>new Meal('11','Potato Salad','Veg','1','serving'),</v>
      </c>
      <c r="BI147" s="116"/>
      <c r="BJ147" s="116"/>
      <c r="BK147" s="116"/>
      <c r="BL147" s="116"/>
      <c r="BM147" s="116"/>
      <c r="BN147" s="116"/>
      <c r="BO147" s="116"/>
      <c r="BP147" s="116"/>
      <c r="BQ147" s="116"/>
      <c r="BR147" s="116"/>
      <c r="BS147" s="116"/>
    </row>
    <row r="148" spans="1:71" s="44" customFormat="1" ht="15" customHeight="1">
      <c r="A148" s="161">
        <v>5</v>
      </c>
      <c r="B148" s="116" t="s">
        <v>365</v>
      </c>
      <c r="C148" s="79" t="s">
        <v>88</v>
      </c>
      <c r="D148" s="174">
        <v>1</v>
      </c>
      <c r="E148" s="60" t="s">
        <v>408</v>
      </c>
      <c r="F148" s="117"/>
      <c r="G148" s="117">
        <v>18.87</v>
      </c>
      <c r="H148" s="117">
        <v>11.62</v>
      </c>
      <c r="I148" s="117">
        <v>11.1</v>
      </c>
      <c r="J148" s="143">
        <v>1.08</v>
      </c>
      <c r="K148" s="143">
        <v>224</v>
      </c>
      <c r="L148" s="117">
        <v>3.23</v>
      </c>
      <c r="M148" s="117">
        <v>7.1</v>
      </c>
      <c r="N148" s="143">
        <v>5.97</v>
      </c>
      <c r="O148" s="143">
        <v>187</v>
      </c>
      <c r="P148" s="143">
        <v>282</v>
      </c>
      <c r="Q148" s="117">
        <v>1723</v>
      </c>
      <c r="R148" s="117">
        <v>469</v>
      </c>
      <c r="S148" s="144">
        <v>2.13</v>
      </c>
      <c r="T148" s="117">
        <v>0.33</v>
      </c>
      <c r="U148" s="117">
        <v>0.03</v>
      </c>
      <c r="V148" s="117">
        <v>32.1</v>
      </c>
      <c r="W148" s="117">
        <v>148</v>
      </c>
      <c r="X148" s="144">
        <v>4.7</v>
      </c>
      <c r="Y148" s="144">
        <v>87</v>
      </c>
      <c r="Z148" s="117">
        <v>10</v>
      </c>
      <c r="AA148" s="149">
        <v>10186</v>
      </c>
      <c r="AB148" s="117">
        <v>61.1</v>
      </c>
      <c r="AC148" s="117">
        <v>0.32</v>
      </c>
      <c r="AD148" s="117">
        <v>1</v>
      </c>
      <c r="AE148" s="117">
        <v>1.3</v>
      </c>
      <c r="AF148" s="117">
        <v>1.4</v>
      </c>
      <c r="AG148" s="117">
        <v>0.5</v>
      </c>
      <c r="AH148" s="117">
        <v>1.1299999999999999</v>
      </c>
      <c r="AI148" s="117">
        <v>323.39999999999998</v>
      </c>
      <c r="AJ148" s="144">
        <v>985.2</v>
      </c>
      <c r="AK148" s="117">
        <v>231</v>
      </c>
      <c r="AL148" s="117">
        <v>225</v>
      </c>
      <c r="AM148" s="117">
        <v>0.06</v>
      </c>
      <c r="AN148" s="144">
        <v>0.15</v>
      </c>
      <c r="AO148" s="117">
        <v>0</v>
      </c>
      <c r="AP148" s="117">
        <v>0.69</v>
      </c>
      <c r="AQ148" s="117">
        <v>1.08</v>
      </c>
      <c r="AR148" s="117">
        <v>0.9</v>
      </c>
      <c r="AS148" s="144">
        <v>0.39</v>
      </c>
      <c r="AT148" s="144">
        <v>0.28999999999999998</v>
      </c>
      <c r="AU148" s="117">
        <v>0.67</v>
      </c>
      <c r="AV148" s="144">
        <v>0.51</v>
      </c>
      <c r="AW148" s="144">
        <v>0.77</v>
      </c>
      <c r="AX148" s="144">
        <v>0.76</v>
      </c>
      <c r="AY148" s="144">
        <v>7.0000000000000007E-2</v>
      </c>
      <c r="AZ148" s="117">
        <v>1.26</v>
      </c>
      <c r="BA148" s="144">
        <v>1.04</v>
      </c>
      <c r="BB148" s="144">
        <v>0.42</v>
      </c>
      <c r="BC148" s="117">
        <v>0.5</v>
      </c>
      <c r="BD148" s="144">
        <v>0.94</v>
      </c>
      <c r="BE148" s="144">
        <v>373</v>
      </c>
      <c r="BF148" s="117">
        <v>4.12</v>
      </c>
      <c r="BG148" s="44" t="str">
        <f t="shared" si="2"/>
        <v>new Meal('5','Lettuce salad','Veg','1','serving'),</v>
      </c>
      <c r="BH148" s="116"/>
      <c r="BI148" s="116"/>
      <c r="BJ148" s="116"/>
      <c r="BK148" s="116"/>
      <c r="BL148" s="116"/>
      <c r="BM148" s="116"/>
      <c r="BN148" s="116"/>
      <c r="BO148" s="116"/>
      <c r="BP148" s="116"/>
      <c r="BQ148" s="116"/>
      <c r="BR148" s="62"/>
      <c r="BS148" s="62"/>
    </row>
    <row r="149" spans="1:71" s="44" customFormat="1" ht="15" customHeight="1">
      <c r="A149" s="98">
        <v>7</v>
      </c>
      <c r="B149" s="44" t="s">
        <v>332</v>
      </c>
      <c r="C149" s="50" t="s">
        <v>207</v>
      </c>
      <c r="D149" s="173">
        <v>1</v>
      </c>
      <c r="E149" s="58" t="s">
        <v>421</v>
      </c>
      <c r="F149" s="117">
        <v>179.67</v>
      </c>
      <c r="G149" s="141">
        <v>11.07</v>
      </c>
      <c r="H149" s="142">
        <v>14.7</v>
      </c>
      <c r="I149" s="142">
        <v>42.19</v>
      </c>
      <c r="J149" s="142">
        <v>0.17</v>
      </c>
      <c r="K149" s="142">
        <v>314.58</v>
      </c>
      <c r="L149" s="142">
        <v>4</v>
      </c>
      <c r="M149" s="142">
        <v>2.67</v>
      </c>
      <c r="N149" s="142">
        <v>2.62</v>
      </c>
      <c r="O149" s="142">
        <v>31.08</v>
      </c>
      <c r="P149" s="142">
        <v>151.66999999999999</v>
      </c>
      <c r="Q149" s="142">
        <v>212.25</v>
      </c>
      <c r="R149" s="142">
        <v>529.16999999999996</v>
      </c>
      <c r="S149" s="142">
        <v>1.53</v>
      </c>
      <c r="T149" s="142">
        <v>0.12</v>
      </c>
      <c r="U149" s="142">
        <v>0.09</v>
      </c>
      <c r="V149" s="142">
        <v>19.43</v>
      </c>
      <c r="W149" s="142">
        <v>40.08</v>
      </c>
      <c r="X149" s="142">
        <v>1.26</v>
      </c>
      <c r="Y149" s="142">
        <v>0.67</v>
      </c>
      <c r="Z149" s="142">
        <v>0.83</v>
      </c>
      <c r="AA149" s="142">
        <v>407.08</v>
      </c>
      <c r="AB149" s="142">
        <v>9.9</v>
      </c>
      <c r="AC149" s="142">
        <v>0.36</v>
      </c>
      <c r="AD149" s="142">
        <v>0.24</v>
      </c>
      <c r="AE149" s="142">
        <v>3.47</v>
      </c>
      <c r="AF149" s="142">
        <v>0.06</v>
      </c>
      <c r="AG149" s="142">
        <v>0.14000000000000001</v>
      </c>
      <c r="AH149" s="142">
        <v>0.36</v>
      </c>
      <c r="AI149" s="142">
        <v>28.08</v>
      </c>
      <c r="AJ149" s="142">
        <v>53.93</v>
      </c>
      <c r="AK149" s="142">
        <v>92.08</v>
      </c>
      <c r="AL149" s="142">
        <v>154.91999999999999</v>
      </c>
      <c r="AM149" s="142">
        <v>3.22</v>
      </c>
      <c r="AN149" s="142">
        <v>0.02</v>
      </c>
      <c r="AO149" s="142">
        <v>7.0000000000000007E-2</v>
      </c>
      <c r="AP149" s="142">
        <v>0.08</v>
      </c>
      <c r="AQ149" s="142">
        <v>0.17</v>
      </c>
      <c r="AR149" s="142">
        <v>0.14000000000000001</v>
      </c>
      <c r="AS149" s="142">
        <v>0.04</v>
      </c>
      <c r="AT149" s="142">
        <v>0.03</v>
      </c>
      <c r="AU149" s="142">
        <v>0.09</v>
      </c>
      <c r="AV149" s="142">
        <v>7.0000000000000007E-2</v>
      </c>
      <c r="AW149" s="142">
        <v>0.1</v>
      </c>
      <c r="AX149" s="142">
        <v>0.09</v>
      </c>
      <c r="AY149" s="142">
        <v>7.0000000000000007E-2</v>
      </c>
      <c r="AZ149" s="142">
        <v>0.15</v>
      </c>
      <c r="BA149" s="142">
        <v>0.46</v>
      </c>
      <c r="BB149" s="142">
        <v>0.05</v>
      </c>
      <c r="BC149" s="142">
        <v>0.17</v>
      </c>
      <c r="BD149" s="142">
        <v>0.1</v>
      </c>
      <c r="BE149" s="142">
        <v>26.67</v>
      </c>
      <c r="BF149" s="142">
        <v>4.29</v>
      </c>
      <c r="BG149" s="44" t="str">
        <f t="shared" si="2"/>
        <v>new Meal('7','Lasagna','Entre','1','piece'),</v>
      </c>
    </row>
    <row r="150" spans="1:71" s="44" customFormat="1" ht="15" customHeight="1">
      <c r="A150" s="101">
        <v>8</v>
      </c>
      <c r="B150" s="45" t="s">
        <v>340</v>
      </c>
      <c r="C150" s="50" t="s">
        <v>207</v>
      </c>
      <c r="D150" s="177">
        <v>0.25</v>
      </c>
      <c r="E150" s="84" t="s">
        <v>407</v>
      </c>
      <c r="F150" s="56"/>
      <c r="G150" s="117">
        <v>2.1850000000000001</v>
      </c>
      <c r="H150" s="117">
        <v>0.98250000000000004</v>
      </c>
      <c r="I150" s="117">
        <v>2.6675</v>
      </c>
      <c r="J150" s="117">
        <v>0</v>
      </c>
      <c r="K150" s="117">
        <v>28.75</v>
      </c>
      <c r="L150" s="117">
        <v>0.505</v>
      </c>
      <c r="M150" s="117">
        <v>0.01</v>
      </c>
      <c r="N150" s="117">
        <v>0.29299999999999998</v>
      </c>
      <c r="O150" s="117">
        <v>2.75</v>
      </c>
      <c r="P150" s="117">
        <v>17</v>
      </c>
      <c r="Q150" s="117">
        <v>28.5</v>
      </c>
      <c r="R150" s="117">
        <v>68.5</v>
      </c>
      <c r="S150" s="117">
        <v>0.45500000000000002</v>
      </c>
      <c r="T150" s="117">
        <v>1.2500000000000001E-2</v>
      </c>
      <c r="U150" s="117">
        <v>0</v>
      </c>
      <c r="V150" s="117">
        <v>2.35</v>
      </c>
      <c r="W150" s="117">
        <v>1.75</v>
      </c>
      <c r="X150" s="117">
        <v>4.2500000000000003E-2</v>
      </c>
      <c r="Y150" s="117">
        <v>0</v>
      </c>
      <c r="Z150" s="117">
        <v>0</v>
      </c>
      <c r="AA150" s="117">
        <v>1</v>
      </c>
      <c r="AB150" s="117">
        <v>2.5000000000000001E-2</v>
      </c>
      <c r="AC150" s="117">
        <v>2.2249999999999999E-2</v>
      </c>
      <c r="AD150" s="117">
        <v>2.75E-2</v>
      </c>
      <c r="AE150" s="117">
        <v>0.41749999999999998</v>
      </c>
      <c r="AF150" s="117">
        <v>0</v>
      </c>
      <c r="AG150" s="117">
        <v>1.7500000000000002E-2</v>
      </c>
      <c r="AH150" s="117">
        <v>0.13250000000000001</v>
      </c>
      <c r="AI150" s="117">
        <v>5.85</v>
      </c>
      <c r="AJ150" s="117">
        <v>0.52500000000000002</v>
      </c>
      <c r="AK150" s="117">
        <v>0.5</v>
      </c>
      <c r="AL150" s="117">
        <v>5</v>
      </c>
      <c r="AM150" s="117">
        <v>0</v>
      </c>
      <c r="AN150" s="117">
        <v>0</v>
      </c>
      <c r="AO150" s="117">
        <v>0</v>
      </c>
      <c r="AP150" s="117">
        <v>0</v>
      </c>
      <c r="AQ150" s="117">
        <v>0</v>
      </c>
      <c r="AR150" s="117">
        <v>0</v>
      </c>
      <c r="AS150" s="117">
        <v>0</v>
      </c>
      <c r="AT150" s="117">
        <v>0</v>
      </c>
      <c r="AU150" s="117">
        <v>0</v>
      </c>
      <c r="AV150" s="117">
        <v>0</v>
      </c>
      <c r="AW150" s="117">
        <v>0</v>
      </c>
      <c r="AX150" s="117">
        <v>0</v>
      </c>
      <c r="AY150" s="117">
        <v>0</v>
      </c>
      <c r="AZ150" s="117">
        <v>0</v>
      </c>
      <c r="BA150" s="117">
        <v>0</v>
      </c>
      <c r="BB150" s="117">
        <v>0</v>
      </c>
      <c r="BC150" s="117">
        <v>0</v>
      </c>
      <c r="BD150" s="117">
        <v>0</v>
      </c>
      <c r="BE150" s="117">
        <v>5.75</v>
      </c>
      <c r="BF150" s="56"/>
      <c r="BG150" s="44" t="str">
        <f t="shared" si="2"/>
        <v>new Meal('8','Hamburger','Entre','0.25','lb'),</v>
      </c>
    </row>
    <row r="151" spans="1:71" s="44" customFormat="1" ht="15" customHeight="1">
      <c r="A151" s="98">
        <v>1</v>
      </c>
      <c r="B151" s="44" t="s">
        <v>205</v>
      </c>
      <c r="C151" s="50" t="s">
        <v>207</v>
      </c>
      <c r="D151" s="171">
        <v>1</v>
      </c>
      <c r="E151" s="50" t="s">
        <v>420</v>
      </c>
      <c r="F151" s="144"/>
      <c r="G151" s="144">
        <f t="shared" ref="G151:AJ151" si="3">G150/6</f>
        <v>0.36416666666666669</v>
      </c>
      <c r="H151" s="117">
        <f t="shared" si="3"/>
        <v>0.16375000000000001</v>
      </c>
      <c r="I151" s="117">
        <f t="shared" si="3"/>
        <v>0.44458333333333333</v>
      </c>
      <c r="J151" s="117">
        <f t="shared" si="3"/>
        <v>0</v>
      </c>
      <c r="K151" s="117">
        <f t="shared" si="3"/>
        <v>4.791666666666667</v>
      </c>
      <c r="L151" s="144">
        <f t="shared" si="3"/>
        <v>8.4166666666666667E-2</v>
      </c>
      <c r="M151" s="117">
        <f t="shared" si="3"/>
        <v>1.6666666666666668E-3</v>
      </c>
      <c r="N151" s="117">
        <f t="shared" si="3"/>
        <v>4.8833333333333333E-2</v>
      </c>
      <c r="O151" s="117">
        <f t="shared" si="3"/>
        <v>0.45833333333333331</v>
      </c>
      <c r="P151" s="117">
        <f t="shared" si="3"/>
        <v>2.8333333333333335</v>
      </c>
      <c r="Q151" s="117">
        <f t="shared" si="3"/>
        <v>4.75</v>
      </c>
      <c r="R151" s="117">
        <f t="shared" si="3"/>
        <v>11.416666666666666</v>
      </c>
      <c r="S151" s="117">
        <f t="shared" si="3"/>
        <v>7.5833333333333336E-2</v>
      </c>
      <c r="T151" s="144">
        <f t="shared" si="3"/>
        <v>2.0833333333333333E-3</v>
      </c>
      <c r="U151" s="117">
        <f t="shared" si="3"/>
        <v>0</v>
      </c>
      <c r="V151" s="117">
        <f t="shared" si="3"/>
        <v>0.39166666666666666</v>
      </c>
      <c r="W151" s="117">
        <f t="shared" si="3"/>
        <v>0.29166666666666669</v>
      </c>
      <c r="X151" s="117">
        <f t="shared" si="3"/>
        <v>7.0833333333333338E-3</v>
      </c>
      <c r="Y151" s="117">
        <f t="shared" si="3"/>
        <v>0</v>
      </c>
      <c r="Z151" s="117">
        <f t="shared" si="3"/>
        <v>0</v>
      </c>
      <c r="AA151" s="144">
        <f t="shared" si="3"/>
        <v>0.16666666666666666</v>
      </c>
      <c r="AB151" s="144">
        <f t="shared" si="3"/>
        <v>4.1666666666666666E-3</v>
      </c>
      <c r="AC151" s="144">
        <f t="shared" si="3"/>
        <v>3.708333333333333E-3</v>
      </c>
      <c r="AD151" s="117">
        <f t="shared" si="3"/>
        <v>4.5833333333333334E-3</v>
      </c>
      <c r="AE151" s="117">
        <f t="shared" si="3"/>
        <v>6.958333333333333E-2</v>
      </c>
      <c r="AF151" s="144">
        <f t="shared" si="3"/>
        <v>0</v>
      </c>
      <c r="AG151" s="117">
        <f t="shared" si="3"/>
        <v>2.9166666666666668E-3</v>
      </c>
      <c r="AH151" s="117">
        <f t="shared" si="3"/>
        <v>2.2083333333333333E-2</v>
      </c>
      <c r="AI151" s="117">
        <f t="shared" si="3"/>
        <v>0.97499999999999998</v>
      </c>
      <c r="AJ151" s="117">
        <f t="shared" si="3"/>
        <v>8.7500000000000008E-2</v>
      </c>
      <c r="AK151" s="144"/>
      <c r="AL151" s="144">
        <f t="shared" ref="AL151:BF151" si="4">AL150/6</f>
        <v>0.83333333333333337</v>
      </c>
      <c r="AM151" s="117">
        <f t="shared" si="4"/>
        <v>0</v>
      </c>
      <c r="AN151" s="144">
        <f t="shared" si="4"/>
        <v>0</v>
      </c>
      <c r="AO151" s="144">
        <f t="shared" si="4"/>
        <v>0</v>
      </c>
      <c r="AP151" s="144">
        <f t="shared" si="4"/>
        <v>0</v>
      </c>
      <c r="AQ151" s="144">
        <f t="shared" si="4"/>
        <v>0</v>
      </c>
      <c r="AR151" s="144">
        <f t="shared" si="4"/>
        <v>0</v>
      </c>
      <c r="AS151" s="144">
        <f t="shared" si="4"/>
        <v>0</v>
      </c>
      <c r="AT151" s="144">
        <f t="shared" si="4"/>
        <v>0</v>
      </c>
      <c r="AU151" s="144">
        <f t="shared" si="4"/>
        <v>0</v>
      </c>
      <c r="AV151" s="144">
        <f t="shared" si="4"/>
        <v>0</v>
      </c>
      <c r="AW151" s="144">
        <f t="shared" si="4"/>
        <v>0</v>
      </c>
      <c r="AX151" s="144">
        <f t="shared" si="4"/>
        <v>0</v>
      </c>
      <c r="AY151" s="144">
        <f t="shared" si="4"/>
        <v>0</v>
      </c>
      <c r="AZ151" s="144">
        <f t="shared" si="4"/>
        <v>0</v>
      </c>
      <c r="BA151" s="144">
        <f t="shared" si="4"/>
        <v>0</v>
      </c>
      <c r="BB151" s="117">
        <f t="shared" si="4"/>
        <v>0</v>
      </c>
      <c r="BC151" s="144">
        <f t="shared" si="4"/>
        <v>0</v>
      </c>
      <c r="BD151" s="144">
        <f t="shared" si="4"/>
        <v>0</v>
      </c>
      <c r="BE151" s="117">
        <f t="shared" si="4"/>
        <v>0.95833333333333337</v>
      </c>
      <c r="BF151" s="144">
        <f t="shared" si="4"/>
        <v>0</v>
      </c>
      <c r="BG151" s="44" t="str">
        <f t="shared" si="2"/>
        <v>new Meal('1','Homemade chili','Entre','1','bowl'),</v>
      </c>
    </row>
    <row r="152" spans="1:71" s="44" customFormat="1" ht="18" customHeight="1">
      <c r="A152" s="101">
        <v>3</v>
      </c>
      <c r="B152" s="44" t="s">
        <v>314</v>
      </c>
      <c r="C152" s="84" t="s">
        <v>207</v>
      </c>
      <c r="D152" s="173">
        <v>1</v>
      </c>
      <c r="E152" s="58" t="s">
        <v>408</v>
      </c>
      <c r="F152" s="117"/>
      <c r="G152" s="117">
        <v>14.6</v>
      </c>
      <c r="H152" s="117">
        <v>8.44</v>
      </c>
      <c r="I152" s="117">
        <v>26</v>
      </c>
      <c r="J152" s="117">
        <v>0.7</v>
      </c>
      <c r="K152" s="117">
        <v>279.92</v>
      </c>
      <c r="L152" s="117">
        <v>42.34</v>
      </c>
      <c r="M152" s="117">
        <v>3.17</v>
      </c>
      <c r="N152" s="144">
        <v>1.23</v>
      </c>
      <c r="O152" s="117">
        <v>40.94</v>
      </c>
      <c r="P152" s="117">
        <v>154.36000000000001</v>
      </c>
      <c r="Q152" s="117">
        <v>385.37</v>
      </c>
      <c r="R152" s="117">
        <v>303.67</v>
      </c>
      <c r="S152" s="117">
        <v>5.45</v>
      </c>
      <c r="T152" s="117">
        <v>156.16999999999999</v>
      </c>
      <c r="U152" s="117">
        <v>2.5099999999999998</v>
      </c>
      <c r="V152" s="117">
        <v>15.33</v>
      </c>
      <c r="W152" s="117">
        <v>29.52</v>
      </c>
      <c r="X152" s="117">
        <v>1.32</v>
      </c>
      <c r="Y152" s="117">
        <v>14.5</v>
      </c>
      <c r="Z152" s="117">
        <v>25.36</v>
      </c>
      <c r="AA152" s="117">
        <v>626.9</v>
      </c>
      <c r="AB152" s="117">
        <v>25.31</v>
      </c>
      <c r="AC152" s="117">
        <v>9.42</v>
      </c>
      <c r="AD152" s="117">
        <v>5.76</v>
      </c>
      <c r="AE152" s="117">
        <v>4.05</v>
      </c>
      <c r="AF152" s="117">
        <v>0.4</v>
      </c>
      <c r="AG152" s="117">
        <v>0.38</v>
      </c>
      <c r="AH152" s="144">
        <v>0.25</v>
      </c>
      <c r="AI152" s="144">
        <v>93.12</v>
      </c>
      <c r="AJ152" s="144">
        <v>48.7</v>
      </c>
      <c r="AK152" s="117">
        <v>46.42</v>
      </c>
      <c r="AL152" s="117">
        <v>59.75</v>
      </c>
      <c r="AM152" s="117">
        <v>0.09</v>
      </c>
      <c r="AN152" s="144">
        <v>0.05</v>
      </c>
      <c r="AO152" s="117">
        <v>7.0000000000000007E-2</v>
      </c>
      <c r="AP152" s="117">
        <v>0.19</v>
      </c>
      <c r="AQ152" s="117">
        <v>0.31</v>
      </c>
      <c r="AR152" s="117">
        <v>0.26</v>
      </c>
      <c r="AS152" s="117">
        <v>0.14000000000000001</v>
      </c>
      <c r="AT152" s="117">
        <v>0.11</v>
      </c>
      <c r="AU152" s="117">
        <v>0.2</v>
      </c>
      <c r="AV152" s="117">
        <v>0.64</v>
      </c>
      <c r="AW152" s="117">
        <v>0.49</v>
      </c>
      <c r="AX152" s="117">
        <v>0.25</v>
      </c>
      <c r="AY152" s="117">
        <v>0.08</v>
      </c>
      <c r="AZ152" s="117">
        <v>0.44</v>
      </c>
      <c r="BA152" s="117">
        <v>0.45</v>
      </c>
      <c r="BB152" s="117">
        <v>0.15</v>
      </c>
      <c r="BC152" s="117">
        <v>0.19</v>
      </c>
      <c r="BD152" s="117">
        <v>1.67</v>
      </c>
      <c r="BE152" s="117">
        <v>88.5</v>
      </c>
      <c r="BF152" s="117">
        <v>2.38</v>
      </c>
      <c r="BG152" s="44" t="str">
        <f t="shared" si="2"/>
        <v>new Meal('3','Chicken soup homemade','Entre','1','serving'),</v>
      </c>
      <c r="BH152" s="116"/>
      <c r="BI152" s="116"/>
      <c r="BJ152" s="116"/>
      <c r="BK152" s="116"/>
      <c r="BL152" s="116"/>
      <c r="BM152" s="116"/>
      <c r="BN152" s="116"/>
      <c r="BO152" s="116"/>
      <c r="BP152" s="116"/>
      <c r="BQ152" s="116"/>
    </row>
    <row r="153" spans="1:71" s="44" customFormat="1" ht="15" customHeight="1">
      <c r="A153" s="102">
        <v>4</v>
      </c>
      <c r="B153" s="66" t="s">
        <v>321</v>
      </c>
      <c r="C153" s="79" t="s">
        <v>207</v>
      </c>
      <c r="D153" s="178">
        <v>1</v>
      </c>
      <c r="E153" s="164" t="s">
        <v>408</v>
      </c>
      <c r="F153" s="148">
        <v>257</v>
      </c>
      <c r="G153" s="117">
        <v>13.46</v>
      </c>
      <c r="H153" s="117">
        <v>7.64</v>
      </c>
      <c r="I153" s="142">
        <v>27.44</v>
      </c>
      <c r="J153" s="117">
        <v>0.5</v>
      </c>
      <c r="K153" s="117">
        <v>231</v>
      </c>
      <c r="L153" s="117">
        <v>4.34</v>
      </c>
      <c r="M153" s="143">
        <v>2.88</v>
      </c>
      <c r="N153" s="143">
        <v>2.17</v>
      </c>
      <c r="O153" s="143">
        <v>38.5</v>
      </c>
      <c r="P153" s="117">
        <v>160.33000000000001</v>
      </c>
      <c r="Q153" s="117">
        <v>304.17</v>
      </c>
      <c r="R153" s="117">
        <v>160</v>
      </c>
      <c r="S153" s="117">
        <v>2.31</v>
      </c>
      <c r="T153" s="142">
        <v>0.15</v>
      </c>
      <c r="U153" s="117">
        <v>0.15</v>
      </c>
      <c r="V153" s="117">
        <v>22.59</v>
      </c>
      <c r="W153" s="117">
        <v>1.67</v>
      </c>
      <c r="X153" s="117">
        <v>0.54</v>
      </c>
      <c r="Y153" s="117">
        <v>2.83</v>
      </c>
      <c r="Z153" s="142">
        <v>4</v>
      </c>
      <c r="AA153" s="117">
        <v>244.17</v>
      </c>
      <c r="AB153" s="117">
        <v>6.83</v>
      </c>
      <c r="AC153" s="117">
        <v>0.25</v>
      </c>
      <c r="AD153" s="117">
        <v>0.18</v>
      </c>
      <c r="AE153" s="117">
        <v>4.34</v>
      </c>
      <c r="AF153" s="117">
        <v>0.45</v>
      </c>
      <c r="AG153" s="117">
        <v>0.23</v>
      </c>
      <c r="AH153" s="143">
        <v>0.62</v>
      </c>
      <c r="AI153" s="165">
        <v>46.52</v>
      </c>
      <c r="AJ153" s="143">
        <v>11.82</v>
      </c>
      <c r="AK153" s="142">
        <v>31.17</v>
      </c>
      <c r="AL153" s="143">
        <v>70.83</v>
      </c>
      <c r="AM153" s="165">
        <v>10.38</v>
      </c>
      <c r="AN153" s="143">
        <v>7.0000000000000007E-2</v>
      </c>
      <c r="AO153" s="148">
        <v>0.45</v>
      </c>
      <c r="AP153" s="148">
        <v>0.52</v>
      </c>
      <c r="AQ153" s="148">
        <v>0.94</v>
      </c>
      <c r="AR153" s="148">
        <v>0.9</v>
      </c>
      <c r="AS153" s="148">
        <v>0.28999999999999998</v>
      </c>
      <c r="AT153" s="148">
        <v>0.14000000000000001</v>
      </c>
      <c r="AU153" s="148">
        <v>0.49</v>
      </c>
      <c r="AV153" s="148">
        <v>0.36</v>
      </c>
      <c r="AW153" s="148">
        <v>0.59</v>
      </c>
      <c r="AX153" s="146">
        <v>0.73</v>
      </c>
      <c r="AY153" s="146">
        <v>0.72</v>
      </c>
      <c r="AZ153" s="146">
        <v>1.05</v>
      </c>
      <c r="BA153" s="148">
        <v>2.06</v>
      </c>
      <c r="BB153" s="148">
        <v>0.75</v>
      </c>
      <c r="BC153" s="148">
        <v>0.71</v>
      </c>
      <c r="BD153" s="148">
        <v>1.93</v>
      </c>
      <c r="BE153" s="143">
        <v>39.67</v>
      </c>
      <c r="BF153" s="148">
        <v>2.2999999999999998</v>
      </c>
      <c r="BG153" s="44" t="str">
        <f t="shared" si="2"/>
        <v>new Meal('4','Beef pasta hotdish','Entre','1','serving'),</v>
      </c>
      <c r="BH153" s="116"/>
      <c r="BI153" s="116"/>
      <c r="BJ153" s="116"/>
      <c r="BK153" s="116"/>
      <c r="BL153" s="116"/>
      <c r="BM153" s="116"/>
      <c r="BN153" s="116"/>
      <c r="BO153" s="116"/>
      <c r="BP153" s="116"/>
      <c r="BQ153" s="116"/>
    </row>
    <row r="154" spans="1:71" s="44" customFormat="1" ht="15" customHeight="1">
      <c r="A154" s="160">
        <v>10</v>
      </c>
      <c r="B154" s="160" t="s">
        <v>347</v>
      </c>
      <c r="C154" s="85" t="s">
        <v>207</v>
      </c>
      <c r="D154" s="173">
        <v>1</v>
      </c>
      <c r="E154" s="58" t="s">
        <v>408</v>
      </c>
      <c r="F154" s="152"/>
      <c r="G154" s="117">
        <v>10.37</v>
      </c>
      <c r="H154" s="142">
        <v>5.51</v>
      </c>
      <c r="I154" s="117">
        <v>24.82</v>
      </c>
      <c r="J154" s="142">
        <v>0.75</v>
      </c>
      <c r="K154" s="142">
        <v>240.04</v>
      </c>
      <c r="L154" s="142">
        <v>4.54</v>
      </c>
      <c r="M154" s="143">
        <v>5.36</v>
      </c>
      <c r="N154" s="165">
        <v>2.35</v>
      </c>
      <c r="O154" s="165">
        <v>59.58</v>
      </c>
      <c r="P154" s="142">
        <v>176.83</v>
      </c>
      <c r="Q154" s="142">
        <v>537.38</v>
      </c>
      <c r="R154" s="142">
        <v>260.95999999999998</v>
      </c>
      <c r="S154" s="142">
        <v>1.47</v>
      </c>
      <c r="T154" s="142">
        <v>0.26</v>
      </c>
      <c r="U154" s="142">
        <v>0.32</v>
      </c>
      <c r="V154" s="142">
        <v>8.2899999999999991</v>
      </c>
      <c r="W154" s="142">
        <v>6</v>
      </c>
      <c r="X154" s="142">
        <v>1.22</v>
      </c>
      <c r="Y154" s="142">
        <v>0.67</v>
      </c>
      <c r="Z154" s="117">
        <v>35.67</v>
      </c>
      <c r="AA154" s="150"/>
      <c r="AB154" s="142">
        <v>31.47</v>
      </c>
      <c r="AC154" s="142">
        <v>0.24</v>
      </c>
      <c r="AD154" s="142">
        <v>0.22</v>
      </c>
      <c r="AE154" s="117">
        <v>3.26</v>
      </c>
      <c r="AF154" s="142">
        <v>0.24</v>
      </c>
      <c r="AG154" s="117">
        <v>0.35</v>
      </c>
      <c r="AH154" s="165">
        <v>0.12</v>
      </c>
      <c r="AI154" s="143">
        <v>57.27</v>
      </c>
      <c r="AJ154" s="143">
        <v>143.31</v>
      </c>
      <c r="AK154" s="117">
        <v>71.42</v>
      </c>
      <c r="AL154" s="143">
        <v>96.25</v>
      </c>
      <c r="AM154" s="143">
        <v>3.3</v>
      </c>
      <c r="AN154" s="165">
        <v>0.04</v>
      </c>
      <c r="AO154" s="142">
        <v>0.13</v>
      </c>
      <c r="AP154" s="142">
        <v>0.14000000000000001</v>
      </c>
      <c r="AQ154" s="142">
        <v>0.25</v>
      </c>
      <c r="AR154" s="142">
        <v>0.19</v>
      </c>
      <c r="AS154" s="142">
        <v>0.11</v>
      </c>
      <c r="AT154" s="117">
        <v>0.08</v>
      </c>
      <c r="AU154" s="142">
        <v>0.16</v>
      </c>
      <c r="AV154" s="142">
        <v>0.09</v>
      </c>
      <c r="AW154" s="142">
        <v>0.18</v>
      </c>
      <c r="AX154" s="117">
        <v>0.23</v>
      </c>
      <c r="AY154" s="142">
        <v>0.13</v>
      </c>
      <c r="AZ154" s="142">
        <v>0.4</v>
      </c>
      <c r="BA154" s="142">
        <v>0.6</v>
      </c>
      <c r="BB154" s="142">
        <v>0.14000000000000001</v>
      </c>
      <c r="BC154" s="142">
        <v>0.23</v>
      </c>
      <c r="BD154" s="142">
        <v>1.59</v>
      </c>
      <c r="BE154" s="165">
        <v>20.25</v>
      </c>
      <c r="BF154" s="117">
        <v>1.89</v>
      </c>
      <c r="BG154" s="44" t="str">
        <f t="shared" si="2"/>
        <v>new Meal('10','Beef Soup homemade','Entre','1','serving'),</v>
      </c>
      <c r="BI154" s="116"/>
      <c r="BJ154" s="116"/>
      <c r="BK154" s="116"/>
      <c r="BL154" s="116"/>
      <c r="BM154" s="116"/>
      <c r="BN154" s="116"/>
      <c r="BO154" s="116"/>
      <c r="BP154" s="116"/>
      <c r="BQ154" s="116"/>
      <c r="BR154" s="116"/>
      <c r="BS154" s="116"/>
    </row>
  </sheetData>
  <sortState ref="A5:BS135">
    <sortCondition ref="B5:B135"/>
  </sortState>
  <mergeCells count="1">
    <mergeCell ref="B1:B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3:BG110"/>
  <sheetViews>
    <sheetView workbookViewId="0">
      <selection activeCell="AS7" sqref="AS7"/>
    </sheetView>
  </sheetViews>
  <sheetFormatPr defaultRowHeight="12.6"/>
  <cols>
    <col min="2" max="2" width="18.33203125" customWidth="1"/>
    <col min="25" max="26" width="9.109375" style="32"/>
  </cols>
  <sheetData>
    <row r="3" spans="1:58">
      <c r="A3" t="s">
        <v>358</v>
      </c>
    </row>
    <row r="4" spans="1:58" s="44" customFormat="1" ht="15" customHeight="1">
      <c r="A4" s="98">
        <v>169248</v>
      </c>
      <c r="B4" s="44" t="s">
        <v>329</v>
      </c>
      <c r="C4" s="50" t="s">
        <v>311</v>
      </c>
      <c r="D4" s="58" t="s">
        <v>221</v>
      </c>
      <c r="E4" s="98">
        <v>72</v>
      </c>
      <c r="F4" s="62">
        <v>0.9</v>
      </c>
      <c r="G4" s="46">
        <v>0.14000000000000001</v>
      </c>
      <c r="H4" s="46">
        <v>2.97</v>
      </c>
      <c r="I4" s="46">
        <v>0</v>
      </c>
      <c r="J4" s="46">
        <v>14</v>
      </c>
      <c r="K4" s="46">
        <v>1.97</v>
      </c>
      <c r="L4" s="46">
        <v>1.2</v>
      </c>
      <c r="M4" s="46">
        <v>0.41</v>
      </c>
      <c r="N4" s="46">
        <v>7</v>
      </c>
      <c r="O4" s="46">
        <v>20</v>
      </c>
      <c r="P4" s="46">
        <v>141</v>
      </c>
      <c r="Q4" s="46">
        <v>10</v>
      </c>
      <c r="R4" s="46">
        <v>0.15</v>
      </c>
      <c r="S4" s="46">
        <v>2.5000000000000001E-2</v>
      </c>
      <c r="T4" s="46">
        <v>0</v>
      </c>
      <c r="U4" s="46">
        <v>0.1</v>
      </c>
      <c r="V4" s="46">
        <v>0</v>
      </c>
      <c r="W4" s="46">
        <v>0.18</v>
      </c>
      <c r="X4" s="46">
        <v>0</v>
      </c>
      <c r="Y4" s="46">
        <v>0</v>
      </c>
      <c r="Z4" s="46">
        <v>277</v>
      </c>
      <c r="AA4" s="46">
        <v>2.8</v>
      </c>
      <c r="AB4" s="46">
        <v>0.04</v>
      </c>
      <c r="AC4" s="46">
        <v>0.03</v>
      </c>
      <c r="AD4" s="46">
        <v>0.12</v>
      </c>
      <c r="AE4" s="46">
        <v>0</v>
      </c>
      <c r="AF4" s="46">
        <v>0.04</v>
      </c>
      <c r="AG4" s="46">
        <v>0</v>
      </c>
      <c r="AH4" s="46">
        <v>6.7</v>
      </c>
      <c r="AI4" s="46">
        <v>24.1</v>
      </c>
      <c r="AJ4" s="46">
        <v>29</v>
      </c>
      <c r="AK4" s="46">
        <v>29</v>
      </c>
      <c r="AL4" s="46">
        <v>0</v>
      </c>
      <c r="AM4" s="46">
        <v>0</v>
      </c>
      <c r="AN4" s="46">
        <v>0</v>
      </c>
      <c r="AO4" s="46">
        <v>0</v>
      </c>
      <c r="AP4" s="46">
        <v>0</v>
      </c>
      <c r="AQ4" s="46">
        <v>0</v>
      </c>
      <c r="AR4" s="46">
        <v>0</v>
      </c>
      <c r="AS4" s="46">
        <v>0</v>
      </c>
      <c r="AT4" s="46">
        <v>0</v>
      </c>
      <c r="AU4" s="46">
        <v>0</v>
      </c>
      <c r="AV4" s="46">
        <v>0</v>
      </c>
      <c r="AW4" s="46">
        <v>0</v>
      </c>
      <c r="AX4" s="46">
        <v>0</v>
      </c>
      <c r="AY4" s="46">
        <v>0</v>
      </c>
      <c r="AZ4" s="46">
        <v>0</v>
      </c>
      <c r="BA4" s="46">
        <v>0</v>
      </c>
      <c r="BB4" s="46">
        <v>0</v>
      </c>
      <c r="BC4" s="46">
        <v>0</v>
      </c>
      <c r="BD4" s="46">
        <v>0</v>
      </c>
      <c r="BE4" s="46">
        <v>7.0000000000000007E-2</v>
      </c>
      <c r="BF4" s="44" t="str">
        <f t="shared" ref="BF4" si="0">"new food('"&amp;B4&amp;"','"&amp;C4&amp;"','"&amp;D4&amp;"','"&amp;E4&amp;"','"&amp;F4&amp;"','"&amp;G4&amp;"','"&amp;H4&amp;"','"&amp;I4&amp;"','"&amp;J4&amp;"','"&amp;K4&amp;"','"&amp;L4&amp;"','"&amp;M4&amp;"','"&amp;N4&amp;"','"&amp;O4&amp;"','"&amp;P4&amp;"','"&amp;Q4&amp;"','"&amp;R4&amp;"','"&amp;S4&amp;"','"&amp;T4&amp;"','"&amp;U4&amp;"','"&amp;V4&amp;"','"&amp;W4&amp;"','"&amp;X4&amp;"','"&amp;Y4&amp;"','"&amp;Z4&amp;"','"&amp;AA4&amp;"','"&amp;AB4&amp;"','"&amp;AC4&amp;"','"&amp;AD4&amp;"','"&amp;AE4&amp;"','"&amp;AF4&amp;"','"&amp;AG4&amp;"','"&amp;AH4&amp;"','"&amp;AI4&amp;"','"&amp;AJ4&amp;"','"&amp;AK4&amp;"','"&amp;AL4&amp;"','"&amp;AM4&amp;"','"&amp;AN4&amp;"','"&amp;AO4&amp;"','"&amp;AP4&amp;"','"&amp;AQ4&amp;"','"&amp;AR4&amp;"','"&amp;AS4&amp;"','"&amp;AT4&amp;"','"&amp;AU4&amp;"','"&amp;AV4&amp;"','"&amp;AW4&amp;"','"&amp;AX4&amp;"','"&amp;AY4&amp;"','"&amp;AZ4&amp;"','"&amp;BA4&amp;"','"&amp;BB4&amp;"','"&amp;BC4&amp;"','"&amp;BD4&amp;"','"&amp;BE4&amp;"'),"</f>
        <v>new food('Lettuce iceberg crisphead','Ingred','1 cup','72','0.9','0.14','2.97','0','14','1.97','1.2','0.41','7','20','141','10','0.15','0.025','0','0.1','0','0.18','0','0','277','2.8','0.04','0.03','0.12','0','0.04','0','6.7','24.1','29','29','0','0','0','0','0','0','0','0','0','0','0','0','0','0','0','0','0','0','0','0.07'),</v>
      </c>
    </row>
    <row r="5" spans="1:58" s="44" customFormat="1" ht="15" customHeight="1">
      <c r="A5" s="98"/>
      <c r="B5" s="44" t="s">
        <v>348</v>
      </c>
      <c r="C5" s="50"/>
      <c r="D5" s="50" t="s">
        <v>349</v>
      </c>
      <c r="E5" s="98"/>
      <c r="F5">
        <v>0.09</v>
      </c>
      <c r="G5">
        <v>0.03</v>
      </c>
      <c r="H5">
        <v>2.5099999999999998</v>
      </c>
      <c r="I5">
        <v>0</v>
      </c>
      <c r="J5">
        <v>10.63</v>
      </c>
      <c r="K5">
        <v>1.98</v>
      </c>
      <c r="L5">
        <v>0.21</v>
      </c>
      <c r="M5">
        <v>0</v>
      </c>
      <c r="N5">
        <v>3.5</v>
      </c>
      <c r="O5">
        <v>2.75</v>
      </c>
      <c r="P5">
        <v>40.75</v>
      </c>
      <c r="Q5">
        <v>0</v>
      </c>
      <c r="R5">
        <v>0.02</v>
      </c>
      <c r="S5">
        <v>0.01</v>
      </c>
      <c r="T5">
        <v>0</v>
      </c>
      <c r="U5">
        <v>0</v>
      </c>
      <c r="V5">
        <v>0</v>
      </c>
      <c r="W5">
        <v>0.01</v>
      </c>
      <c r="X5">
        <v>0</v>
      </c>
      <c r="Y5" s="32">
        <v>0</v>
      </c>
      <c r="Z5" s="32">
        <v>2.75</v>
      </c>
      <c r="AA5">
        <v>1.21</v>
      </c>
      <c r="AB5">
        <v>0</v>
      </c>
      <c r="AC5">
        <v>0</v>
      </c>
      <c r="AD5">
        <v>7.0000000000000007E-2</v>
      </c>
      <c r="AE5">
        <v>0</v>
      </c>
      <c r="AF5">
        <v>0.03</v>
      </c>
      <c r="AG5">
        <v>0</v>
      </c>
      <c r="AH5">
        <v>1.23</v>
      </c>
      <c r="AI5">
        <v>0.03</v>
      </c>
      <c r="AJ5">
        <v>3.13</v>
      </c>
      <c r="AK5">
        <v>3.13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8">
      <c r="B6" t="s">
        <v>350</v>
      </c>
      <c r="D6" t="s">
        <v>351</v>
      </c>
      <c r="F6">
        <v>0.28999999999999998</v>
      </c>
      <c r="G6">
        <v>0.18</v>
      </c>
      <c r="H6">
        <v>1.64</v>
      </c>
      <c r="I6">
        <v>0</v>
      </c>
      <c r="J6">
        <v>9.3800000000000008</v>
      </c>
      <c r="K6">
        <v>1.44</v>
      </c>
      <c r="L6">
        <v>0.08</v>
      </c>
      <c r="M6">
        <v>0</v>
      </c>
      <c r="N6">
        <v>1.75</v>
      </c>
      <c r="O6">
        <v>9</v>
      </c>
      <c r="P6">
        <v>21.13</v>
      </c>
      <c r="Q6">
        <v>3.25</v>
      </c>
      <c r="R6">
        <v>0.04</v>
      </c>
      <c r="S6">
        <v>0</v>
      </c>
      <c r="T6">
        <v>0</v>
      </c>
      <c r="U6">
        <v>0.16</v>
      </c>
      <c r="V6">
        <v>4.5</v>
      </c>
      <c r="W6">
        <v>0.01</v>
      </c>
      <c r="X6">
        <v>0</v>
      </c>
      <c r="Y6" s="32">
        <v>0</v>
      </c>
      <c r="Z6" s="32">
        <v>0.88</v>
      </c>
      <c r="AA6">
        <v>1.28</v>
      </c>
      <c r="AB6">
        <v>0.01</v>
      </c>
      <c r="AC6">
        <v>0.01</v>
      </c>
      <c r="AD6">
        <v>0.03</v>
      </c>
      <c r="AE6">
        <v>0</v>
      </c>
      <c r="AF6">
        <v>0.01</v>
      </c>
      <c r="AG6">
        <v>0.44</v>
      </c>
      <c r="AH6">
        <v>1.74</v>
      </c>
      <c r="AI6">
        <v>0.05</v>
      </c>
      <c r="AJ6">
        <v>0.05</v>
      </c>
      <c r="AK6">
        <v>0.05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0.75</v>
      </c>
      <c r="BE6">
        <v>0</v>
      </c>
    </row>
    <row r="7" spans="1:58" s="44" customFormat="1" ht="15" customHeight="1">
      <c r="A7" s="97">
        <v>170187</v>
      </c>
      <c r="B7" s="57" t="s">
        <v>352</v>
      </c>
      <c r="C7" s="50" t="s">
        <v>285</v>
      </c>
      <c r="D7" s="60" t="s">
        <v>225</v>
      </c>
      <c r="E7" s="110">
        <v>28.35</v>
      </c>
      <c r="F7" s="56">
        <v>15.23</v>
      </c>
      <c r="G7" s="56">
        <v>65.209999999999994</v>
      </c>
      <c r="H7" s="44">
        <v>13.71</v>
      </c>
      <c r="I7" s="44">
        <v>1.78</v>
      </c>
      <c r="J7" s="44">
        <v>654</v>
      </c>
      <c r="K7" s="56">
        <v>2.61</v>
      </c>
      <c r="L7" s="45">
        <v>6.7</v>
      </c>
      <c r="M7" s="44">
        <v>2.91</v>
      </c>
      <c r="N7" s="63">
        <v>158</v>
      </c>
      <c r="O7" s="63">
        <v>346</v>
      </c>
      <c r="P7" s="56">
        <v>441</v>
      </c>
      <c r="Q7" s="56">
        <v>2</v>
      </c>
      <c r="R7" s="56">
        <v>3.09</v>
      </c>
      <c r="S7" s="44">
        <v>1.5860000000000001</v>
      </c>
      <c r="T7" s="56">
        <v>3.4140000000000001</v>
      </c>
      <c r="U7" s="56">
        <v>4.9000000000000004</v>
      </c>
      <c r="V7" s="56">
        <v>0</v>
      </c>
      <c r="W7" s="56">
        <v>0.7</v>
      </c>
      <c r="X7" s="63">
        <v>0</v>
      </c>
      <c r="Y7" s="46">
        <v>0</v>
      </c>
      <c r="Z7" s="46">
        <v>9</v>
      </c>
      <c r="AA7" s="63">
        <v>1.3</v>
      </c>
      <c r="AB7" s="56">
        <v>0.34100000000000003</v>
      </c>
      <c r="AC7" s="56">
        <v>0.15</v>
      </c>
      <c r="AD7" s="63">
        <v>1.125</v>
      </c>
      <c r="AE7" s="56">
        <v>0.56999999999999995</v>
      </c>
      <c r="AF7" s="63">
        <v>0.53700000000000003</v>
      </c>
      <c r="AG7" s="56">
        <v>0</v>
      </c>
      <c r="AH7" s="45">
        <v>39.200000000000003</v>
      </c>
      <c r="AI7" s="56">
        <v>2.7</v>
      </c>
      <c r="AJ7" s="44">
        <v>98</v>
      </c>
      <c r="AK7" s="45">
        <v>98</v>
      </c>
      <c r="AL7" s="44">
        <v>0.3</v>
      </c>
      <c r="AM7" s="56">
        <v>0.17</v>
      </c>
      <c r="AN7" s="56">
        <v>0.59599999999999997</v>
      </c>
      <c r="AO7" s="45">
        <v>0.625</v>
      </c>
      <c r="AP7" s="45">
        <v>1.17</v>
      </c>
      <c r="AQ7" s="45">
        <v>0.42399999999999999</v>
      </c>
      <c r="AR7" s="45">
        <v>0.23599999999999999</v>
      </c>
      <c r="AS7" s="44">
        <v>0.20799999999999999</v>
      </c>
      <c r="AT7" s="63">
        <v>0.71099999999999997</v>
      </c>
      <c r="AU7" s="56">
        <v>0.40600000000000003</v>
      </c>
      <c r="AV7" s="56">
        <v>0.753</v>
      </c>
      <c r="AW7" s="44">
        <v>2.278</v>
      </c>
      <c r="AX7" s="45">
        <v>0.69599999999999995</v>
      </c>
      <c r="AY7" s="45">
        <v>1.829</v>
      </c>
      <c r="AZ7" s="45">
        <v>2.8159999999999998</v>
      </c>
      <c r="BA7" s="44">
        <v>0.81599999999999995</v>
      </c>
      <c r="BB7" s="56">
        <v>0.70599999999999996</v>
      </c>
      <c r="BC7" s="56">
        <v>0.93400000000000005</v>
      </c>
      <c r="BD7" s="56">
        <v>0</v>
      </c>
      <c r="BE7" s="44">
        <v>8.9329999999999998</v>
      </c>
      <c r="BF7" s="44" t="str">
        <f t="shared" ref="BF7" si="1">"new food('"&amp;B7&amp;"','"&amp;C7&amp;"','"&amp;D7&amp;"','"&amp;E7&amp;"','"&amp;F7&amp;"','"&amp;G7&amp;"','"&amp;H7&amp;"','"&amp;I7&amp;"','"&amp;J7&amp;"','"&amp;K7&amp;"','"&amp;L7&amp;"','"&amp;M7&amp;"','"&amp;N7&amp;"','"&amp;O7&amp;"','"&amp;P7&amp;"','"&amp;Q7&amp;"','"&amp;R7&amp;"','"&amp;S7&amp;"','"&amp;T7&amp;"','"&amp;U7&amp;"','"&amp;V7&amp;"','"&amp;W7&amp;"','"&amp;X7&amp;"','"&amp;Y7&amp;"','"&amp;Z7&amp;"','"&amp;AA7&amp;"','"&amp;AB7&amp;"','"&amp;AC7&amp;"','"&amp;AD7&amp;"','"&amp;AE7&amp;"','"&amp;AF7&amp;"','"&amp;AG7&amp;"','"&amp;AH7&amp;"','"&amp;AI7&amp;"','"&amp;AJ7&amp;"','"&amp;AK7&amp;"','"&amp;AL7&amp;"','"&amp;AM7&amp;"','"&amp;AN7&amp;"','"&amp;AO7&amp;"','"&amp;AP7&amp;"','"&amp;AQ7&amp;"','"&amp;AR7&amp;"','"&amp;AS7&amp;"','"&amp;AT7&amp;"','"&amp;AU7&amp;"','"&amp;AV7&amp;"','"&amp;AW7&amp;"','"&amp;AX7&amp;"','"&amp;AY7&amp;"','"&amp;AZ7&amp;"','"&amp;BA7&amp;"','"&amp;BB7&amp;"','"&amp;BC7&amp;"','"&amp;BD7&amp;"','"&amp;BE7&amp;"'),"</f>
        <v>new food('walnuts','Snack','.25 cup','28.35','15.23','65.21','13.71','1.78','654','2.61','6.7','2.91','158','346','441','2','3.09','1.586','3.414','4.9','0','0.7','0','0','9','1.3','0.341','0.15','1.125','0.57','0.537','0','39.2','2.7','98','98','0.3','0.17','0.596','0.625','1.17','0.424','0.236','0.208','0.711','0.406','0.753','2.278','0.696','1.829','2.816','0.816','0.706','0.934','0','8.933'),</v>
      </c>
    </row>
    <row r="8" spans="1:58" s="116" customFormat="1" ht="15.6">
      <c r="A8" s="116">
        <v>2709173</v>
      </c>
      <c r="B8" s="116" t="s">
        <v>353</v>
      </c>
      <c r="C8" s="50"/>
      <c r="D8" s="58" t="s">
        <v>354</v>
      </c>
      <c r="E8" s="98">
        <v>100</v>
      </c>
      <c r="F8" s="116">
        <v>0.62</v>
      </c>
      <c r="G8" s="116">
        <v>0.03</v>
      </c>
      <c r="H8" s="116">
        <v>9.57</v>
      </c>
      <c r="I8" s="116">
        <v>0</v>
      </c>
      <c r="J8" s="116">
        <v>37</v>
      </c>
      <c r="K8" s="116">
        <v>8.8699999999999992</v>
      </c>
      <c r="L8" s="116">
        <v>0.7</v>
      </c>
      <c r="M8" s="116">
        <v>0.27</v>
      </c>
      <c r="N8" s="116">
        <v>11</v>
      </c>
      <c r="O8" s="116">
        <v>10</v>
      </c>
      <c r="P8" s="116">
        <v>133</v>
      </c>
      <c r="Q8" s="116">
        <v>5</v>
      </c>
      <c r="R8" s="116">
        <v>0.51</v>
      </c>
      <c r="S8" s="116">
        <v>0.03</v>
      </c>
      <c r="T8" s="44">
        <v>0</v>
      </c>
      <c r="U8" s="44">
        <v>0.4</v>
      </c>
      <c r="V8" s="116">
        <v>0</v>
      </c>
      <c r="W8" s="116">
        <v>0.1</v>
      </c>
      <c r="X8" s="116">
        <v>0</v>
      </c>
      <c r="Y8" s="139">
        <v>503</v>
      </c>
      <c r="Z8" s="139">
        <v>163</v>
      </c>
      <c r="AA8" s="116">
        <v>34.200000000000003</v>
      </c>
      <c r="AB8" s="116">
        <v>0.08</v>
      </c>
      <c r="AC8" s="116">
        <v>0.03</v>
      </c>
      <c r="AD8" s="116">
        <v>0.45</v>
      </c>
      <c r="AE8" s="116">
        <v>0</v>
      </c>
      <c r="AF8" s="116">
        <v>0.04</v>
      </c>
      <c r="AG8" s="116">
        <v>0</v>
      </c>
      <c r="AH8" s="116">
        <v>8.9</v>
      </c>
      <c r="AI8" s="116">
        <v>0</v>
      </c>
      <c r="AJ8" s="116">
        <v>5</v>
      </c>
      <c r="AK8" s="116">
        <v>5</v>
      </c>
      <c r="AL8" s="116">
        <v>0</v>
      </c>
      <c r="AM8" s="116">
        <v>0</v>
      </c>
      <c r="AN8" s="116">
        <v>0</v>
      </c>
      <c r="AO8" s="116">
        <v>0</v>
      </c>
      <c r="AP8" s="116">
        <v>0</v>
      </c>
      <c r="AQ8" s="116">
        <v>0</v>
      </c>
      <c r="AR8" s="116">
        <v>0</v>
      </c>
      <c r="AS8" s="116">
        <v>0</v>
      </c>
      <c r="AT8" s="116">
        <v>0</v>
      </c>
      <c r="AU8" s="116">
        <v>0</v>
      </c>
      <c r="AV8" s="116">
        <v>0</v>
      </c>
      <c r="AW8" s="116">
        <v>0</v>
      </c>
      <c r="AX8" s="116">
        <v>0</v>
      </c>
      <c r="AY8" s="116">
        <v>0</v>
      </c>
      <c r="AZ8" s="116">
        <v>0</v>
      </c>
      <c r="BA8" s="116">
        <v>0</v>
      </c>
      <c r="BB8" s="116">
        <v>0</v>
      </c>
      <c r="BC8" s="116">
        <v>0</v>
      </c>
      <c r="BD8" s="116">
        <v>0</v>
      </c>
      <c r="BE8" s="116">
        <v>0</v>
      </c>
      <c r="BF8" s="44"/>
    </row>
    <row r="9" spans="1:58">
      <c r="B9" t="s">
        <v>355</v>
      </c>
    </row>
    <row r="10" spans="1:58" s="116" customFormat="1" ht="15.6">
      <c r="A10" s="116">
        <v>2708008</v>
      </c>
      <c r="B10" s="116" t="s">
        <v>356</v>
      </c>
      <c r="C10" s="50"/>
      <c r="D10" s="58" t="s">
        <v>221</v>
      </c>
      <c r="E10" s="98"/>
      <c r="F10" s="116">
        <v>1.84</v>
      </c>
      <c r="G10" s="116">
        <v>7.53</v>
      </c>
      <c r="H10" s="116">
        <v>32.380000000000003</v>
      </c>
      <c r="I10" s="116">
        <v>0</v>
      </c>
      <c r="J10" s="116">
        <v>204</v>
      </c>
      <c r="K10" s="116">
        <v>15.75</v>
      </c>
      <c r="L10" s="116">
        <v>1.7</v>
      </c>
      <c r="M10" s="116">
        <v>0.88</v>
      </c>
      <c r="N10" s="116">
        <v>13</v>
      </c>
      <c r="O10" s="116">
        <v>47</v>
      </c>
      <c r="P10" s="116">
        <v>120</v>
      </c>
      <c r="Q10" s="116">
        <v>13</v>
      </c>
      <c r="R10" s="116">
        <v>0.41</v>
      </c>
      <c r="S10" s="116">
        <v>0.11</v>
      </c>
      <c r="T10" s="116">
        <v>0</v>
      </c>
      <c r="U10" s="116">
        <v>1.5</v>
      </c>
      <c r="V10" s="116">
        <v>9</v>
      </c>
      <c r="W10" s="116">
        <v>0.89</v>
      </c>
      <c r="X10" s="116">
        <v>0</v>
      </c>
      <c r="Y10" s="139">
        <v>17</v>
      </c>
      <c r="Z10" s="139">
        <v>49</v>
      </c>
      <c r="AA10" s="116">
        <v>23.9</v>
      </c>
      <c r="AB10" s="116">
        <v>0.06</v>
      </c>
      <c r="AC10" s="116">
        <v>0.08</v>
      </c>
      <c r="AD10" s="116">
        <v>1.08</v>
      </c>
      <c r="AE10" s="116">
        <v>0</v>
      </c>
      <c r="AF10" s="116">
        <v>0.04</v>
      </c>
      <c r="AG10" s="116">
        <v>0</v>
      </c>
      <c r="AH10" s="116">
        <v>9.6999999999999993</v>
      </c>
      <c r="AI10" s="116">
        <v>13.3</v>
      </c>
      <c r="AJ10" s="116">
        <v>13</v>
      </c>
      <c r="AK10" s="116">
        <v>33</v>
      </c>
      <c r="AL10" s="116">
        <v>0</v>
      </c>
      <c r="AM10" s="116">
        <v>0</v>
      </c>
      <c r="AN10" s="116">
        <v>0</v>
      </c>
      <c r="AO10" s="116">
        <v>0</v>
      </c>
      <c r="AP10" s="116">
        <v>0</v>
      </c>
      <c r="AQ10" s="116">
        <v>0</v>
      </c>
      <c r="AR10" s="116">
        <v>0</v>
      </c>
      <c r="AS10" s="116">
        <v>0</v>
      </c>
      <c r="AT10" s="116">
        <v>0</v>
      </c>
      <c r="AU10" s="116">
        <v>0</v>
      </c>
      <c r="AV10" s="116">
        <v>0</v>
      </c>
      <c r="AW10" s="116">
        <v>0</v>
      </c>
      <c r="AX10" s="116">
        <v>0</v>
      </c>
      <c r="AY10" s="116">
        <v>0</v>
      </c>
      <c r="AZ10" s="116">
        <v>0</v>
      </c>
      <c r="BA10" s="116">
        <v>0</v>
      </c>
      <c r="BB10" s="116">
        <v>0</v>
      </c>
      <c r="BC10" s="116">
        <v>0</v>
      </c>
      <c r="BD10" s="116">
        <v>3</v>
      </c>
      <c r="BE10" s="116">
        <v>4.5999999999999996</v>
      </c>
      <c r="BF10" s="44"/>
    </row>
    <row r="13" spans="1:58">
      <c r="F13" s="35">
        <f>SUM(F4:F12)</f>
        <v>18.970000000000002</v>
      </c>
      <c r="G13" s="35">
        <f t="shared" ref="G13:BE13" si="2">SUM(G4:G12)</f>
        <v>73.11999999999999</v>
      </c>
      <c r="H13" s="35">
        <f t="shared" si="2"/>
        <v>62.78</v>
      </c>
      <c r="I13" s="35">
        <f t="shared" si="2"/>
        <v>1.78</v>
      </c>
      <c r="J13" s="35">
        <f t="shared" si="2"/>
        <v>929.01</v>
      </c>
      <c r="K13" s="35">
        <f t="shared" si="2"/>
        <v>32.619999999999997</v>
      </c>
      <c r="L13" s="35">
        <f t="shared" si="2"/>
        <v>10.589999999999998</v>
      </c>
      <c r="M13" s="35">
        <f t="shared" si="2"/>
        <v>4.4700000000000006</v>
      </c>
      <c r="N13" s="35">
        <f t="shared" si="2"/>
        <v>194.25</v>
      </c>
      <c r="O13" s="35">
        <f t="shared" si="2"/>
        <v>434.75</v>
      </c>
      <c r="P13" s="35">
        <f t="shared" si="2"/>
        <v>896.88</v>
      </c>
      <c r="Q13" s="35">
        <f t="shared" si="2"/>
        <v>33.25</v>
      </c>
      <c r="R13" s="35">
        <f t="shared" si="2"/>
        <v>4.22</v>
      </c>
      <c r="S13" s="35">
        <f t="shared" si="2"/>
        <v>1.7610000000000001</v>
      </c>
      <c r="T13" s="35">
        <f t="shared" si="2"/>
        <v>3.4140000000000001</v>
      </c>
      <c r="U13" s="35">
        <f t="shared" si="2"/>
        <v>7.0600000000000005</v>
      </c>
      <c r="V13" s="35">
        <f t="shared" si="2"/>
        <v>13.5</v>
      </c>
      <c r="W13" s="35">
        <f t="shared" si="2"/>
        <v>1.89</v>
      </c>
      <c r="X13" s="35">
        <f t="shared" si="2"/>
        <v>0</v>
      </c>
      <c r="Y13" s="140">
        <f t="shared" si="2"/>
        <v>520</v>
      </c>
      <c r="Z13" s="140">
        <f t="shared" si="2"/>
        <v>501.63</v>
      </c>
      <c r="AA13" s="35">
        <f t="shared" si="2"/>
        <v>64.69</v>
      </c>
      <c r="AB13" s="35">
        <f t="shared" si="2"/>
        <v>0.53100000000000003</v>
      </c>
      <c r="AC13" s="35">
        <f t="shared" si="2"/>
        <v>0.3</v>
      </c>
      <c r="AD13" s="35">
        <f t="shared" si="2"/>
        <v>2.875</v>
      </c>
      <c r="AE13" s="35">
        <f t="shared" si="2"/>
        <v>0.56999999999999995</v>
      </c>
      <c r="AF13" s="35">
        <f t="shared" si="2"/>
        <v>0.69700000000000006</v>
      </c>
      <c r="AG13" s="35">
        <f t="shared" si="2"/>
        <v>0.44</v>
      </c>
      <c r="AH13" s="35">
        <f t="shared" si="2"/>
        <v>67.47</v>
      </c>
      <c r="AI13" s="35">
        <f t="shared" si="2"/>
        <v>40.180000000000007</v>
      </c>
      <c r="AJ13" s="35">
        <f t="shared" si="2"/>
        <v>148.18</v>
      </c>
      <c r="AK13" s="35">
        <f t="shared" si="2"/>
        <v>168.18</v>
      </c>
      <c r="AL13" s="35">
        <f t="shared" si="2"/>
        <v>0.3</v>
      </c>
      <c r="AM13" s="35">
        <f t="shared" si="2"/>
        <v>0.17</v>
      </c>
      <c r="AN13" s="35">
        <f t="shared" si="2"/>
        <v>0.59599999999999997</v>
      </c>
      <c r="AO13" s="35">
        <f t="shared" si="2"/>
        <v>0.625</v>
      </c>
      <c r="AP13" s="35">
        <f t="shared" si="2"/>
        <v>1.17</v>
      </c>
      <c r="AQ13" s="35">
        <f t="shared" si="2"/>
        <v>0.42399999999999999</v>
      </c>
      <c r="AR13" s="35">
        <f t="shared" si="2"/>
        <v>0.23599999999999999</v>
      </c>
      <c r="AS13" s="35">
        <f t="shared" si="2"/>
        <v>0.20799999999999999</v>
      </c>
      <c r="AT13" s="35">
        <f t="shared" si="2"/>
        <v>0.71099999999999997</v>
      </c>
      <c r="AU13" s="35">
        <f t="shared" si="2"/>
        <v>0.40600000000000003</v>
      </c>
      <c r="AV13" s="35">
        <f t="shared" si="2"/>
        <v>0.753</v>
      </c>
      <c r="AW13" s="35">
        <f t="shared" si="2"/>
        <v>2.278</v>
      </c>
      <c r="AX13" s="35">
        <f t="shared" si="2"/>
        <v>0.69599999999999995</v>
      </c>
      <c r="AY13" s="35">
        <f t="shared" si="2"/>
        <v>1.829</v>
      </c>
      <c r="AZ13" s="35">
        <f t="shared" si="2"/>
        <v>2.8159999999999998</v>
      </c>
      <c r="BA13" s="35">
        <f t="shared" si="2"/>
        <v>0.81599999999999995</v>
      </c>
      <c r="BB13" s="35">
        <f t="shared" si="2"/>
        <v>0.70599999999999996</v>
      </c>
      <c r="BC13" s="35">
        <f t="shared" si="2"/>
        <v>0.93400000000000005</v>
      </c>
      <c r="BD13" s="35">
        <f t="shared" si="2"/>
        <v>3.75</v>
      </c>
      <c r="BE13" s="35">
        <f t="shared" si="2"/>
        <v>13.603</v>
      </c>
    </row>
    <row r="14" spans="1:58">
      <c r="F14">
        <v>18.97</v>
      </c>
      <c r="G14">
        <v>73.12</v>
      </c>
      <c r="H14">
        <v>62.78</v>
      </c>
      <c r="I14">
        <v>1.78</v>
      </c>
      <c r="J14">
        <v>929.01</v>
      </c>
      <c r="K14">
        <v>32.619999999999997</v>
      </c>
      <c r="L14">
        <v>10.59</v>
      </c>
      <c r="M14">
        <v>4.47</v>
      </c>
      <c r="N14">
        <v>194.25</v>
      </c>
      <c r="O14">
        <v>434.75</v>
      </c>
      <c r="P14" t="s">
        <v>363</v>
      </c>
      <c r="Q14">
        <v>33.25</v>
      </c>
      <c r="R14">
        <v>4.22</v>
      </c>
      <c r="S14">
        <v>1.76</v>
      </c>
      <c r="T14">
        <v>3.41</v>
      </c>
      <c r="U14">
        <v>7.06</v>
      </c>
      <c r="V14">
        <v>13.5</v>
      </c>
      <c r="W14">
        <v>1.89</v>
      </c>
      <c r="X14">
        <v>0</v>
      </c>
      <c r="Y14" s="32">
        <v>520</v>
      </c>
      <c r="Z14" s="32">
        <v>501.63</v>
      </c>
      <c r="AA14">
        <v>64.69</v>
      </c>
      <c r="AB14">
        <v>0.53</v>
      </c>
      <c r="AC14">
        <v>0.3</v>
      </c>
      <c r="AD14">
        <v>2.88</v>
      </c>
      <c r="AE14">
        <v>0.56999999999999995</v>
      </c>
      <c r="AF14">
        <v>0.7</v>
      </c>
      <c r="AG14">
        <v>0.44</v>
      </c>
      <c r="AH14">
        <v>67.47</v>
      </c>
      <c r="AI14">
        <v>40.18</v>
      </c>
      <c r="AJ14">
        <v>148.18</v>
      </c>
      <c r="AK14">
        <v>168.18</v>
      </c>
      <c r="AL14">
        <v>0.3</v>
      </c>
      <c r="AM14">
        <v>0.17</v>
      </c>
      <c r="AN14">
        <v>0.6</v>
      </c>
      <c r="AO14">
        <v>0.63</v>
      </c>
      <c r="AP14">
        <v>1.17</v>
      </c>
      <c r="AQ14">
        <v>0.42</v>
      </c>
      <c r="AR14">
        <v>0.24</v>
      </c>
      <c r="AS14">
        <v>0.21</v>
      </c>
      <c r="AT14">
        <v>0.71</v>
      </c>
      <c r="AU14">
        <v>0.41</v>
      </c>
      <c r="AV14">
        <v>0.75</v>
      </c>
      <c r="AW14">
        <v>2.2799999999999998</v>
      </c>
      <c r="AX14">
        <v>0.7</v>
      </c>
      <c r="AY14">
        <v>1.83</v>
      </c>
      <c r="AZ14">
        <v>2.82</v>
      </c>
      <c r="BA14">
        <v>0.82</v>
      </c>
      <c r="BB14">
        <v>0.71</v>
      </c>
      <c r="BC14">
        <v>0.93</v>
      </c>
      <c r="BD14">
        <v>3.75</v>
      </c>
      <c r="BE14">
        <v>13.6</v>
      </c>
    </row>
    <row r="19" spans="1:58">
      <c r="A19" t="s">
        <v>359</v>
      </c>
    </row>
    <row r="20" spans="1:58" s="44" customFormat="1" ht="16.5" customHeight="1">
      <c r="A20" s="98">
        <v>746769</v>
      </c>
      <c r="B20" s="44" t="s">
        <v>336</v>
      </c>
      <c r="C20" s="50" t="s">
        <v>311</v>
      </c>
      <c r="D20" s="58" t="s">
        <v>337</v>
      </c>
      <c r="E20" s="98">
        <v>581</v>
      </c>
      <c r="F20" s="62">
        <v>1.24</v>
      </c>
      <c r="G20" s="46">
        <v>0.26</v>
      </c>
      <c r="H20" s="46">
        <v>3.24</v>
      </c>
      <c r="I20" s="46">
        <v>0</v>
      </c>
      <c r="J20" s="46">
        <v>20</v>
      </c>
      <c r="K20" s="46">
        <v>1.19</v>
      </c>
      <c r="L20" s="46">
        <v>1.8</v>
      </c>
      <c r="M20" s="46">
        <v>0.95</v>
      </c>
      <c r="N20" s="46">
        <v>14</v>
      </c>
      <c r="O20" s="46">
        <v>30</v>
      </c>
      <c r="P20" s="46">
        <v>253</v>
      </c>
      <c r="Q20" s="46">
        <v>8</v>
      </c>
      <c r="R20" s="46">
        <v>0.25</v>
      </c>
      <c r="S20" s="46">
        <v>4.8000000000000001E-2</v>
      </c>
      <c r="T20" s="46">
        <v>0</v>
      </c>
      <c r="U20" s="46">
        <v>0.4</v>
      </c>
      <c r="V20" s="46">
        <v>0</v>
      </c>
      <c r="W20" s="46">
        <v>0.14000000000000001</v>
      </c>
      <c r="X20" s="46">
        <v>0</v>
      </c>
      <c r="Y20" s="46">
        <v>0</v>
      </c>
      <c r="Z20" s="46">
        <v>2310</v>
      </c>
      <c r="AA20" s="46">
        <v>4.5999999999999996</v>
      </c>
      <c r="AB20" s="46">
        <v>7.9000000000000001E-2</v>
      </c>
      <c r="AC20" s="46">
        <v>7.1999999999999995E-2</v>
      </c>
      <c r="AD20" s="46">
        <v>0.32300000000000001</v>
      </c>
      <c r="AE20" s="46">
        <v>0</v>
      </c>
      <c r="AF20" s="46">
        <v>7.8E-2</v>
      </c>
      <c r="AG20" s="46">
        <v>0</v>
      </c>
      <c r="AH20" s="46">
        <v>9.9</v>
      </c>
      <c r="AI20" s="46">
        <v>102</v>
      </c>
      <c r="AJ20" s="46">
        <v>50</v>
      </c>
      <c r="AK20" s="46">
        <v>50</v>
      </c>
      <c r="AL20" s="46">
        <v>0</v>
      </c>
      <c r="AM20" s="46">
        <v>0</v>
      </c>
      <c r="AN20" s="46">
        <v>0</v>
      </c>
      <c r="AO20" s="46">
        <v>0</v>
      </c>
      <c r="AP20" s="46">
        <v>0</v>
      </c>
      <c r="AQ20" s="46">
        <v>0</v>
      </c>
      <c r="AR20" s="46">
        <v>0</v>
      </c>
      <c r="AS20" s="46">
        <v>0</v>
      </c>
      <c r="AT20" s="46">
        <v>0</v>
      </c>
      <c r="AU20" s="46">
        <v>0</v>
      </c>
      <c r="AV20" s="46">
        <v>0</v>
      </c>
      <c r="AW20" s="46">
        <v>0</v>
      </c>
      <c r="AX20" s="46">
        <v>0</v>
      </c>
      <c r="AY20" s="46">
        <v>0</v>
      </c>
      <c r="AZ20" s="46">
        <v>0</v>
      </c>
      <c r="BA20" s="46">
        <v>0</v>
      </c>
      <c r="BB20" s="46">
        <v>0</v>
      </c>
      <c r="BC20" s="46">
        <v>0</v>
      </c>
      <c r="BD20" s="46">
        <v>0</v>
      </c>
      <c r="BE20" s="46">
        <v>0.01</v>
      </c>
      <c r="BF20" s="44" t="str">
        <f t="shared" ref="BF20" si="3">"new food('"&amp;B20&amp;"','"&amp;C20&amp;"','"&amp;D20&amp;"','"&amp;E20&amp;"','"&amp;F20&amp;"','"&amp;G20&amp;"','"&amp;H20&amp;"','"&amp;I20&amp;"','"&amp;J20&amp;"','"&amp;K20&amp;"','"&amp;L20&amp;"','"&amp;M20&amp;"','"&amp;N20&amp;"','"&amp;O20&amp;"','"&amp;P20&amp;"','"&amp;Q20&amp;"','"&amp;R20&amp;"','"&amp;S20&amp;"','"&amp;T20&amp;"','"&amp;U20&amp;"','"&amp;V20&amp;"','"&amp;W20&amp;"','"&amp;X20&amp;"','"&amp;Y20&amp;"','"&amp;Z20&amp;"','"&amp;AA20&amp;"','"&amp;AB20&amp;"','"&amp;AC20&amp;"','"&amp;AD20&amp;"','"&amp;AE20&amp;"','"&amp;AF20&amp;"','"&amp;AG20&amp;"','"&amp;AH20&amp;"','"&amp;AI20&amp;"','"&amp;AJ20&amp;"','"&amp;AK20&amp;"','"&amp;AL20&amp;"','"&amp;AM20&amp;"','"&amp;AN20&amp;"','"&amp;AO20&amp;"','"&amp;AP20&amp;"','"&amp;AQ20&amp;"','"&amp;AR20&amp;"','"&amp;AS20&amp;"','"&amp;AT20&amp;"','"&amp;AU20&amp;"','"&amp;AV20&amp;"','"&amp;AW20&amp;"','"&amp;AX20&amp;"','"&amp;AY20&amp;"','"&amp;AZ20&amp;"','"&amp;BA20&amp;"','"&amp;BB20&amp;"','"&amp;BC20&amp;"','"&amp;BD20&amp;"','"&amp;BE20&amp;"'),"</f>
        <v>new food('Lettuce romaine','Ingred','bunch','581','1.24','0.26','3.24','0','20','1.19','1.8','0.95','14','30','253','8','0.25','0.048','0','0.4','0','0.14','0','0','2310','4.6','0.079','0.072','0.323','0','0.078','0','9.9','102','50','50','0','0','0','0','0','0','0','0','0','0','0','0','0','0','0','0','0','0','0','0.01'),</v>
      </c>
    </row>
    <row r="21" spans="1:58" s="44" customFormat="1" ht="15" customHeight="1">
      <c r="A21" s="99">
        <v>173424</v>
      </c>
      <c r="B21" s="61" t="s">
        <v>84</v>
      </c>
      <c r="C21" s="50" t="s">
        <v>207</v>
      </c>
      <c r="D21" s="60" t="s">
        <v>229</v>
      </c>
      <c r="E21" s="99">
        <v>50</v>
      </c>
      <c r="F21" s="63">
        <v>12.58</v>
      </c>
      <c r="G21" s="63">
        <v>10.61</v>
      </c>
      <c r="H21" s="57">
        <v>1.1200000000000001</v>
      </c>
      <c r="I21" s="57">
        <v>1.08</v>
      </c>
      <c r="J21" s="56">
        <v>155</v>
      </c>
      <c r="K21" s="56">
        <v>1.1200000000000001</v>
      </c>
      <c r="L21" s="63">
        <v>0</v>
      </c>
      <c r="M21" s="61">
        <v>1.19</v>
      </c>
      <c r="N21" s="63">
        <v>10</v>
      </c>
      <c r="O21" s="63">
        <v>172</v>
      </c>
      <c r="P21" s="63">
        <v>126</v>
      </c>
      <c r="Q21" s="63">
        <v>124</v>
      </c>
      <c r="R21" s="57">
        <v>1.05</v>
      </c>
      <c r="S21" s="63">
        <v>1.2999999999999999E-2</v>
      </c>
      <c r="T21" s="63">
        <v>2.5999999999999999E-2</v>
      </c>
      <c r="U21" s="63">
        <v>30.8</v>
      </c>
      <c r="V21" s="63">
        <v>148</v>
      </c>
      <c r="W21" s="61">
        <v>1.03</v>
      </c>
      <c r="X21" s="61">
        <v>87</v>
      </c>
      <c r="Y21" s="61">
        <v>10</v>
      </c>
      <c r="Z21" s="63">
        <v>353</v>
      </c>
      <c r="AA21" s="63">
        <v>0</v>
      </c>
      <c r="AB21" s="63">
        <v>6.6000000000000003E-2</v>
      </c>
      <c r="AC21" s="63">
        <v>0.51300000000000001</v>
      </c>
      <c r="AD21" s="63">
        <v>6.4000000000000001E-2</v>
      </c>
      <c r="AE21" s="63">
        <v>1.3979999999999999</v>
      </c>
      <c r="AF21" s="63">
        <v>0.121</v>
      </c>
      <c r="AG21" s="63">
        <v>1.1299999999999999</v>
      </c>
      <c r="AH21" s="61">
        <v>293.8</v>
      </c>
      <c r="AI21" s="56">
        <v>0.3</v>
      </c>
      <c r="AJ21" s="63">
        <v>50</v>
      </c>
      <c r="AK21" s="61">
        <v>44</v>
      </c>
      <c r="AL21" s="61">
        <v>0.06</v>
      </c>
      <c r="AM21" s="56">
        <v>0.153</v>
      </c>
      <c r="AN21" s="63">
        <v>0</v>
      </c>
      <c r="AO21" s="63">
        <v>0.68600000000000005</v>
      </c>
      <c r="AP21" s="61">
        <v>1.075</v>
      </c>
      <c r="AQ21" s="63">
        <v>0.90400000000000003</v>
      </c>
      <c r="AR21" s="63">
        <v>0.39200000000000002</v>
      </c>
      <c r="AS21" s="63">
        <v>0.29199999999999998</v>
      </c>
      <c r="AT21" s="63">
        <v>0.66800000000000004</v>
      </c>
      <c r="AU21" s="63">
        <v>0.51300000000000001</v>
      </c>
      <c r="AV21" s="63">
        <v>0.76700000000000002</v>
      </c>
      <c r="AW21" s="56">
        <v>0.755</v>
      </c>
      <c r="AX21" s="61">
        <v>7.0000000000000007E-2</v>
      </c>
      <c r="AY21" s="61">
        <v>1.264</v>
      </c>
      <c r="AZ21" s="61">
        <v>1.044</v>
      </c>
      <c r="BA21" s="56">
        <v>0.42299999999999999</v>
      </c>
      <c r="BB21" s="56">
        <v>0.501</v>
      </c>
      <c r="BC21" s="56">
        <v>0.93600000000000005</v>
      </c>
      <c r="BD21" s="63">
        <v>373</v>
      </c>
      <c r="BE21" s="61">
        <v>4.077</v>
      </c>
      <c r="BF21" s="44" t="e">
        <f>"new food('"&amp;#REF!&amp;"','"&amp;B21&amp;"','"&amp;C21&amp;"','"&amp;D21&amp;"','"&amp;E21&amp;"','"&amp;F21&amp;"','"&amp;G21&amp;"','"&amp;H21&amp;"','"&amp;I21&amp;"','"&amp;J21&amp;"','"&amp;K21&amp;"','"&amp;L21&amp;"','"&amp;M21&amp;"','"&amp;N21&amp;"','"&amp;O21&amp;"','"&amp;P21&amp;"','"&amp;Q21&amp;"','"&amp;R21&amp;"','"&amp;S21&amp;"','"&amp;T21&amp;"','"&amp;U21&amp;"','"&amp;V21&amp;"','"&amp;W21&amp;"','"&amp;X21&amp;"','"&amp;Y21&amp;"','"&amp;Z21&amp;"','"&amp;AA21&amp;"','"&amp;AB21&amp;"','"&amp;AC21&amp;"','"&amp;AD21&amp;"','"&amp;AE21&amp;"','"&amp;AF21&amp;"','"&amp;AG21&amp;"','"&amp;AH21&amp;"','"&amp;AI21&amp;"','"&amp;AJ21&amp;"','"&amp;AK21&amp;"','"&amp;AL21&amp;"','"&amp;AM21&amp;"','"&amp;AN21&amp;"','"&amp;AO21&amp;"','"&amp;AP21&amp;"','"&amp;AQ21&amp;"','"&amp;AR21&amp;"','"&amp;AS21&amp;"','"&amp;AT21&amp;"','"&amp;AU21&amp;"','"&amp;AV21&amp;"','"&amp;AW21&amp;"','"&amp;AX21&amp;"','"&amp;AY21&amp;"','"&amp;AZ21&amp;"','"&amp;BA21&amp;"','"&amp;BB21&amp;"','"&amp;BC21&amp;"','"&amp;BD21&amp;"','"&amp;BE21&amp;"'),"</f>
        <v>#REF!</v>
      </c>
    </row>
    <row r="22" spans="1:58" s="44" customFormat="1" ht="15.75" customHeight="1">
      <c r="A22" s="98">
        <v>1999632</v>
      </c>
      <c r="B22" s="44" t="s">
        <v>307</v>
      </c>
      <c r="C22" s="50" t="s">
        <v>311</v>
      </c>
      <c r="D22" s="58"/>
      <c r="E22" s="110">
        <v>100</v>
      </c>
      <c r="F22" s="62">
        <v>2.85</v>
      </c>
      <c r="G22" s="46">
        <v>0.62</v>
      </c>
      <c r="H22" s="46">
        <v>2.41</v>
      </c>
      <c r="I22" s="46">
        <v>0</v>
      </c>
      <c r="J22" s="46">
        <v>27</v>
      </c>
      <c r="K22" s="46">
        <v>0.42</v>
      </c>
      <c r="L22" s="46">
        <v>1.6</v>
      </c>
      <c r="M22" s="46">
        <v>1.26</v>
      </c>
      <c r="N22" s="46">
        <v>93</v>
      </c>
      <c r="O22" s="46">
        <v>39</v>
      </c>
      <c r="P22" s="46">
        <v>582</v>
      </c>
      <c r="Q22" s="46">
        <v>111</v>
      </c>
      <c r="R22" s="46">
        <v>0.45</v>
      </c>
      <c r="S22" s="46">
        <v>8.2000000000000003E-2</v>
      </c>
      <c r="T22" s="46">
        <v>0</v>
      </c>
      <c r="U22" s="46">
        <v>0</v>
      </c>
      <c r="V22" s="46">
        <v>0</v>
      </c>
      <c r="W22" s="46">
        <v>2.0299999999999998</v>
      </c>
      <c r="X22" s="46">
        <v>0</v>
      </c>
      <c r="Y22" s="46">
        <v>0</v>
      </c>
      <c r="Z22" s="46">
        <v>6020</v>
      </c>
      <c r="AA22" s="46">
        <v>26.5</v>
      </c>
      <c r="AB22" s="46">
        <v>7.6999999999999999E-2</v>
      </c>
      <c r="AC22" s="46">
        <v>0.19400000000000001</v>
      </c>
      <c r="AD22" s="46">
        <v>0.51</v>
      </c>
      <c r="AE22" s="46">
        <v>0</v>
      </c>
      <c r="AF22" s="46">
        <v>0.19500000000000001</v>
      </c>
      <c r="AG22" s="46">
        <v>0</v>
      </c>
      <c r="AH22" s="46">
        <v>19.3</v>
      </c>
      <c r="AI22" s="46">
        <v>482.9</v>
      </c>
      <c r="AJ22" s="46">
        <v>116</v>
      </c>
      <c r="AK22" s="46">
        <v>116</v>
      </c>
      <c r="AL22" s="46">
        <v>0</v>
      </c>
      <c r="AM22" s="46">
        <v>0</v>
      </c>
      <c r="AN22" s="46">
        <v>0</v>
      </c>
      <c r="AO22" s="46">
        <v>0</v>
      </c>
      <c r="AP22" s="46">
        <v>0</v>
      </c>
      <c r="AQ22" s="46">
        <v>0</v>
      </c>
      <c r="AR22" s="46">
        <v>0</v>
      </c>
      <c r="AS22" s="46">
        <v>0</v>
      </c>
      <c r="AT22" s="46">
        <v>0</v>
      </c>
      <c r="AU22" s="46">
        <v>0</v>
      </c>
      <c r="AV22" s="46">
        <v>0</v>
      </c>
      <c r="AW22" s="46">
        <v>0</v>
      </c>
      <c r="AX22" s="46">
        <v>0</v>
      </c>
      <c r="AY22" s="46">
        <v>0</v>
      </c>
      <c r="AZ22" s="46">
        <v>0</v>
      </c>
      <c r="BA22" s="46">
        <v>0</v>
      </c>
      <c r="BB22" s="46">
        <v>0</v>
      </c>
      <c r="BC22" s="46">
        <v>0</v>
      </c>
      <c r="BD22" s="46">
        <v>0</v>
      </c>
      <c r="BE22" s="46">
        <v>0.01</v>
      </c>
      <c r="BF22" s="44" t="str">
        <f t="shared" ref="BF22:BF23" si="4">"new food('"&amp;B22&amp;"','"&amp;C22&amp;"','"&amp;D22&amp;"','"&amp;E22&amp;"','"&amp;F22&amp;"','"&amp;G22&amp;"','"&amp;H22&amp;"','"&amp;I22&amp;"','"&amp;J22&amp;"','"&amp;K22&amp;"','"&amp;L22&amp;"','"&amp;M22&amp;"','"&amp;N22&amp;"','"&amp;O22&amp;"','"&amp;P22&amp;"','"&amp;Q22&amp;"','"&amp;R22&amp;"','"&amp;S22&amp;"','"&amp;T22&amp;"','"&amp;U22&amp;"','"&amp;V22&amp;"','"&amp;W22&amp;"','"&amp;X22&amp;"','"&amp;Y22&amp;"','"&amp;Z22&amp;"','"&amp;AA22&amp;"','"&amp;AB22&amp;"','"&amp;AC22&amp;"','"&amp;AD22&amp;"','"&amp;AE22&amp;"','"&amp;AF22&amp;"','"&amp;AG22&amp;"','"&amp;AH22&amp;"','"&amp;AI22&amp;"','"&amp;AJ22&amp;"','"&amp;AK22&amp;"','"&amp;AL22&amp;"','"&amp;AM22&amp;"','"&amp;AN22&amp;"','"&amp;AO22&amp;"','"&amp;AP22&amp;"','"&amp;AQ22&amp;"','"&amp;AR22&amp;"','"&amp;AS22&amp;"','"&amp;AT22&amp;"','"&amp;AU22&amp;"','"&amp;AV22&amp;"','"&amp;AW22&amp;"','"&amp;AX22&amp;"','"&amp;AY22&amp;"','"&amp;AZ22&amp;"','"&amp;BA22&amp;"','"&amp;BB22&amp;"','"&amp;BC22&amp;"','"&amp;BD22&amp;"','"&amp;BE22&amp;"'),"</f>
        <v>new food('Spinach baby','Ingred','','100','2.85','0.62','2.41','0','27','0.42','1.6','1.26','93','39','582','111','0.45','0.082','0','0','0','2.03','0','0','6020','26.5','0.077','0.194','0.51','0','0.195','0','19.3','482.9','116','116','0','0','0','0','0','0','0','0','0','0','0','0','0','0','0','0','0','0','0','0.01'),</v>
      </c>
    </row>
    <row r="23" spans="1:58" s="44" customFormat="1" ht="15" customHeight="1">
      <c r="A23" s="102">
        <v>170375</v>
      </c>
      <c r="B23" s="66" t="s">
        <v>241</v>
      </c>
      <c r="C23" s="79" t="s">
        <v>344</v>
      </c>
      <c r="D23" s="79"/>
      <c r="E23" s="102">
        <v>100</v>
      </c>
      <c r="F23" s="69">
        <v>2.2000000000000002</v>
      </c>
      <c r="G23" s="69">
        <v>0.13</v>
      </c>
      <c r="H23" s="69">
        <v>4.33</v>
      </c>
      <c r="I23" s="69">
        <v>0</v>
      </c>
      <c r="J23" s="69">
        <v>22</v>
      </c>
      <c r="K23" s="80">
        <v>0.5</v>
      </c>
      <c r="L23" s="80">
        <v>3.7</v>
      </c>
      <c r="M23" s="80">
        <v>2.57</v>
      </c>
      <c r="N23" s="80">
        <v>70</v>
      </c>
      <c r="O23" s="80">
        <v>41</v>
      </c>
      <c r="P23" s="80">
        <v>762</v>
      </c>
      <c r="Q23" s="80">
        <v>226</v>
      </c>
      <c r="R23" s="80">
        <v>0.38</v>
      </c>
      <c r="S23" s="80">
        <v>0.191</v>
      </c>
      <c r="T23" s="80">
        <v>0</v>
      </c>
      <c r="U23" s="80">
        <v>0.9</v>
      </c>
      <c r="V23" s="80">
        <v>0</v>
      </c>
      <c r="W23" s="80">
        <v>1.5</v>
      </c>
      <c r="X23" s="80">
        <v>0</v>
      </c>
      <c r="Y23" s="80">
        <v>0</v>
      </c>
      <c r="Z23" s="80">
        <v>1503</v>
      </c>
      <c r="AA23" s="80">
        <v>30</v>
      </c>
      <c r="AB23" s="80">
        <v>0.1</v>
      </c>
      <c r="AC23" s="80">
        <v>0.22</v>
      </c>
      <c r="AD23" s="80">
        <v>0.4</v>
      </c>
      <c r="AE23" s="80">
        <v>0</v>
      </c>
      <c r="AF23" s="80">
        <v>0.106</v>
      </c>
      <c r="AG23" s="80">
        <v>0</v>
      </c>
      <c r="AH23" s="80">
        <v>0.4</v>
      </c>
      <c r="AI23" s="80">
        <v>400</v>
      </c>
      <c r="AJ23" s="80">
        <v>15</v>
      </c>
      <c r="AK23" s="80">
        <v>15</v>
      </c>
      <c r="AL23" s="80">
        <v>0</v>
      </c>
      <c r="AM23" s="80">
        <v>0</v>
      </c>
      <c r="AN23" s="80">
        <v>0</v>
      </c>
      <c r="AO23" s="80">
        <v>0</v>
      </c>
      <c r="AP23" s="80">
        <v>0</v>
      </c>
      <c r="AQ23" s="80">
        <v>0</v>
      </c>
      <c r="AR23" s="80">
        <v>0</v>
      </c>
      <c r="AS23" s="80">
        <v>0</v>
      </c>
      <c r="AT23" s="80">
        <v>0</v>
      </c>
      <c r="AU23" s="80">
        <v>0</v>
      </c>
      <c r="AV23" s="80">
        <v>0</v>
      </c>
      <c r="AW23" s="80">
        <v>0</v>
      </c>
      <c r="AX23" s="80">
        <v>0</v>
      </c>
      <c r="AY23" s="80">
        <v>0</v>
      </c>
      <c r="AZ23" s="80">
        <v>0</v>
      </c>
      <c r="BA23" s="80">
        <v>0</v>
      </c>
      <c r="BB23" s="80">
        <v>0</v>
      </c>
      <c r="BC23" s="80">
        <v>0</v>
      </c>
      <c r="BD23" s="80">
        <v>0</v>
      </c>
      <c r="BE23" s="80">
        <v>2.5999999999999999E-2</v>
      </c>
      <c r="BF23" s="44" t="str">
        <f t="shared" si="4"/>
        <v>new food('Beet greens raw','Side 2','','100','2.2','0.13','4.33','0','22','0.5','3.7','2.57','70','41','762','226','0.38','0.191','0','0.9','0','1.5','0','0','1503','30','0.1','0.22','0.4','0','0.106','0','0.4','400','15','15','0','0','0','0','0','0','0','0','0','0','0','0','0','0','0','0','0','0','0','0.026'),</v>
      </c>
    </row>
    <row r="25" spans="1:58" ht="15" customHeight="1"/>
    <row r="26" spans="1:58">
      <c r="F26" s="35">
        <f>SUM(F20:F25)</f>
        <v>18.87</v>
      </c>
      <c r="G26" s="35">
        <f t="shared" ref="G26:BE26" si="5">SUM(G20:G25)</f>
        <v>11.62</v>
      </c>
      <c r="H26" s="35">
        <f t="shared" si="5"/>
        <v>11.100000000000001</v>
      </c>
      <c r="I26" s="35">
        <f t="shared" si="5"/>
        <v>1.08</v>
      </c>
      <c r="J26" s="35">
        <f t="shared" si="5"/>
        <v>224</v>
      </c>
      <c r="K26" s="35">
        <f t="shared" si="5"/>
        <v>3.23</v>
      </c>
      <c r="L26" s="35">
        <f t="shared" si="5"/>
        <v>7.1000000000000005</v>
      </c>
      <c r="M26" s="35">
        <f t="shared" si="5"/>
        <v>5.9699999999999989</v>
      </c>
      <c r="N26" s="35">
        <f t="shared" si="5"/>
        <v>187</v>
      </c>
      <c r="O26" s="35">
        <f t="shared" si="5"/>
        <v>282</v>
      </c>
      <c r="P26" s="35">
        <f t="shared" si="5"/>
        <v>1723</v>
      </c>
      <c r="Q26" s="35">
        <f t="shared" si="5"/>
        <v>469</v>
      </c>
      <c r="R26" s="35">
        <f t="shared" si="5"/>
        <v>2.13</v>
      </c>
      <c r="S26" s="35">
        <f t="shared" si="5"/>
        <v>0.33400000000000002</v>
      </c>
      <c r="T26" s="35">
        <f t="shared" si="5"/>
        <v>2.5999999999999999E-2</v>
      </c>
      <c r="U26" s="35">
        <f t="shared" si="5"/>
        <v>32.1</v>
      </c>
      <c r="V26" s="35">
        <f t="shared" si="5"/>
        <v>148</v>
      </c>
      <c r="W26" s="35">
        <f t="shared" si="5"/>
        <v>4.6999999999999993</v>
      </c>
      <c r="X26" s="35">
        <f t="shared" si="5"/>
        <v>87</v>
      </c>
      <c r="Y26" s="140">
        <f t="shared" si="5"/>
        <v>10</v>
      </c>
      <c r="Z26" s="140">
        <f t="shared" si="5"/>
        <v>10186</v>
      </c>
      <c r="AA26" s="35">
        <f t="shared" si="5"/>
        <v>61.1</v>
      </c>
      <c r="AB26" s="35">
        <f t="shared" si="5"/>
        <v>0.32200000000000006</v>
      </c>
      <c r="AC26" s="35">
        <f t="shared" si="5"/>
        <v>0.99899999999999989</v>
      </c>
      <c r="AD26" s="35">
        <f t="shared" si="5"/>
        <v>1.2970000000000002</v>
      </c>
      <c r="AE26" s="35">
        <f t="shared" si="5"/>
        <v>1.3979999999999999</v>
      </c>
      <c r="AF26" s="35">
        <f t="shared" si="5"/>
        <v>0.5</v>
      </c>
      <c r="AG26" s="35">
        <f t="shared" si="5"/>
        <v>1.1299999999999999</v>
      </c>
      <c r="AH26" s="35">
        <f t="shared" si="5"/>
        <v>323.39999999999998</v>
      </c>
      <c r="AI26" s="35">
        <f t="shared" si="5"/>
        <v>985.19999999999993</v>
      </c>
      <c r="AJ26" s="35">
        <f t="shared" si="5"/>
        <v>231</v>
      </c>
      <c r="AK26" s="35">
        <f t="shared" si="5"/>
        <v>225</v>
      </c>
      <c r="AL26" s="35">
        <f t="shared" si="5"/>
        <v>0.06</v>
      </c>
      <c r="AM26" s="35">
        <f t="shared" si="5"/>
        <v>0.153</v>
      </c>
      <c r="AN26" s="35">
        <f t="shared" si="5"/>
        <v>0</v>
      </c>
      <c r="AO26" s="35">
        <f t="shared" si="5"/>
        <v>0.68600000000000005</v>
      </c>
      <c r="AP26" s="35">
        <f t="shared" si="5"/>
        <v>1.075</v>
      </c>
      <c r="AQ26" s="35">
        <f t="shared" si="5"/>
        <v>0.90400000000000003</v>
      </c>
      <c r="AR26" s="35">
        <f t="shared" si="5"/>
        <v>0.39200000000000002</v>
      </c>
      <c r="AS26" s="35">
        <f t="shared" si="5"/>
        <v>0.29199999999999998</v>
      </c>
      <c r="AT26" s="35">
        <f t="shared" si="5"/>
        <v>0.66800000000000004</v>
      </c>
      <c r="AU26" s="35">
        <f t="shared" si="5"/>
        <v>0.51300000000000001</v>
      </c>
      <c r="AV26" s="35">
        <f t="shared" si="5"/>
        <v>0.76700000000000002</v>
      </c>
      <c r="AW26" s="35">
        <f t="shared" si="5"/>
        <v>0.755</v>
      </c>
      <c r="AX26" s="35">
        <f t="shared" si="5"/>
        <v>7.0000000000000007E-2</v>
      </c>
      <c r="AY26" s="35">
        <f t="shared" si="5"/>
        <v>1.264</v>
      </c>
      <c r="AZ26" s="35">
        <f t="shared" si="5"/>
        <v>1.044</v>
      </c>
      <c r="BA26" s="35">
        <f t="shared" si="5"/>
        <v>0.42299999999999999</v>
      </c>
      <c r="BB26" s="35">
        <f t="shared" si="5"/>
        <v>0.501</v>
      </c>
      <c r="BC26" s="35">
        <f t="shared" si="5"/>
        <v>0.93600000000000005</v>
      </c>
      <c r="BD26" s="35">
        <f t="shared" si="5"/>
        <v>373</v>
      </c>
      <c r="BE26" s="35">
        <f t="shared" si="5"/>
        <v>4.1229999999999993</v>
      </c>
    </row>
    <row r="27" spans="1:58" s="44" customFormat="1" ht="15" customHeight="1">
      <c r="A27" s="98"/>
      <c r="C27" s="50"/>
      <c r="D27" s="50"/>
      <c r="E27" s="98"/>
      <c r="F27" s="116">
        <v>18.87</v>
      </c>
      <c r="G27" s="116">
        <v>11.62</v>
      </c>
      <c r="H27" s="116">
        <v>11.1</v>
      </c>
      <c r="I27" s="116">
        <v>1.08</v>
      </c>
      <c r="J27" s="116">
        <v>224</v>
      </c>
      <c r="K27" s="116">
        <v>3.23</v>
      </c>
      <c r="L27" s="116">
        <v>7.1</v>
      </c>
      <c r="M27" s="116">
        <v>5.97</v>
      </c>
      <c r="N27" s="116">
        <v>187</v>
      </c>
      <c r="O27" s="116">
        <v>282</v>
      </c>
      <c r="P27" s="116">
        <v>1723</v>
      </c>
      <c r="Q27" s="116">
        <v>469</v>
      </c>
      <c r="R27" s="116">
        <v>2.13</v>
      </c>
      <c r="S27" s="116">
        <v>0.33</v>
      </c>
      <c r="T27" s="44">
        <v>0.03</v>
      </c>
      <c r="U27" s="44">
        <v>32.1</v>
      </c>
      <c r="V27" s="116">
        <v>148</v>
      </c>
      <c r="W27" s="116">
        <v>4.7</v>
      </c>
      <c r="X27" s="116">
        <v>87</v>
      </c>
      <c r="Y27" s="139">
        <v>10</v>
      </c>
      <c r="Z27" s="139">
        <v>10186</v>
      </c>
      <c r="AA27" s="116">
        <v>61.1</v>
      </c>
      <c r="AB27" s="116">
        <v>0.32</v>
      </c>
      <c r="AC27" s="116">
        <v>1</v>
      </c>
      <c r="AD27" s="116">
        <v>1.3</v>
      </c>
      <c r="AE27" s="116">
        <v>1.4</v>
      </c>
      <c r="AF27" s="116">
        <v>0.5</v>
      </c>
      <c r="AG27" s="116">
        <v>1.1299999999999999</v>
      </c>
      <c r="AH27" s="116">
        <v>323.39999999999998</v>
      </c>
      <c r="AI27" s="116">
        <v>985.2</v>
      </c>
      <c r="AJ27" s="116">
        <v>231</v>
      </c>
      <c r="AK27" s="116">
        <v>225</v>
      </c>
      <c r="AL27" s="116">
        <v>0.06</v>
      </c>
      <c r="AM27" s="116">
        <v>0.15</v>
      </c>
      <c r="AN27" s="116">
        <v>0</v>
      </c>
      <c r="AO27" s="116">
        <v>0.69</v>
      </c>
      <c r="AP27" s="116">
        <v>1.08</v>
      </c>
      <c r="AQ27" s="116">
        <v>0.9</v>
      </c>
      <c r="AR27" s="116">
        <v>0.39</v>
      </c>
      <c r="AS27" s="116">
        <v>0.28999999999999998</v>
      </c>
      <c r="AT27" s="116">
        <v>0.67</v>
      </c>
      <c r="AU27" s="116">
        <v>0.51</v>
      </c>
      <c r="AV27" s="116">
        <v>0.77</v>
      </c>
      <c r="AW27" s="116">
        <v>0.76</v>
      </c>
      <c r="AX27" s="116">
        <v>7.0000000000000007E-2</v>
      </c>
      <c r="AY27" s="116">
        <v>1.26</v>
      </c>
      <c r="AZ27" s="116">
        <v>1.04</v>
      </c>
      <c r="BA27" s="116">
        <v>0.42</v>
      </c>
      <c r="BB27" s="116">
        <v>0.5</v>
      </c>
      <c r="BC27" s="116">
        <v>0.94</v>
      </c>
      <c r="BD27" s="116">
        <v>373</v>
      </c>
      <c r="BE27" s="116">
        <v>4.12</v>
      </c>
    </row>
    <row r="30" spans="1:58">
      <c r="A30" t="s">
        <v>366</v>
      </c>
    </row>
    <row r="31" spans="1:58" s="44" customFormat="1" ht="15" customHeight="1">
      <c r="A31" s="101">
        <v>170440</v>
      </c>
      <c r="B31" s="129" t="s">
        <v>362</v>
      </c>
      <c r="C31" s="45" t="s">
        <v>108</v>
      </c>
      <c r="D31" s="84" t="s">
        <v>229</v>
      </c>
      <c r="E31" s="101">
        <v>300</v>
      </c>
      <c r="F31" s="45">
        <v>1.71</v>
      </c>
      <c r="G31" s="44">
        <v>0.1</v>
      </c>
      <c r="H31" s="44">
        <v>20.010000000000002</v>
      </c>
      <c r="I31" s="45">
        <v>0.72</v>
      </c>
      <c r="J31" s="44">
        <v>86</v>
      </c>
      <c r="K31" s="45">
        <v>0.89</v>
      </c>
      <c r="L31" s="44">
        <v>1.8</v>
      </c>
      <c r="M31" s="45">
        <v>0.31</v>
      </c>
      <c r="N31" s="44">
        <v>20</v>
      </c>
      <c r="O31" s="45">
        <v>40</v>
      </c>
      <c r="P31" s="45">
        <v>328</v>
      </c>
      <c r="Q31" s="45">
        <v>5</v>
      </c>
      <c r="R31" s="45">
        <v>0.27</v>
      </c>
      <c r="S31" s="45">
        <v>0.16700000000000001</v>
      </c>
      <c r="T31" s="45">
        <v>0.14000000000000001</v>
      </c>
      <c r="U31" s="45">
        <v>0.3</v>
      </c>
      <c r="V31" s="44">
        <v>0</v>
      </c>
      <c r="W31" s="44">
        <v>0.01</v>
      </c>
      <c r="X31" s="44">
        <v>0</v>
      </c>
      <c r="Y31" s="62">
        <v>0</v>
      </c>
      <c r="Z31" s="46">
        <v>9</v>
      </c>
      <c r="AA31" s="45">
        <v>7.4</v>
      </c>
      <c r="AB31" s="45">
        <v>9.8000000000000004E-2</v>
      </c>
      <c r="AC31" s="44">
        <v>1.9E-2</v>
      </c>
      <c r="AD31" s="45">
        <v>1.3120000000000001</v>
      </c>
      <c r="AE31" s="45">
        <v>0.50800000000000001</v>
      </c>
      <c r="AF31" s="45">
        <v>0.26900000000000002</v>
      </c>
      <c r="AG31" s="45">
        <v>0</v>
      </c>
      <c r="AH31" s="44">
        <v>13.2</v>
      </c>
      <c r="AI31" s="45">
        <v>2.2000000000000002</v>
      </c>
      <c r="AJ31" s="44">
        <v>8</v>
      </c>
      <c r="AK31" s="44">
        <v>9</v>
      </c>
      <c r="AL31" s="44">
        <v>0.2</v>
      </c>
      <c r="AM31" s="45">
        <v>2.7E-2</v>
      </c>
      <c r="AN31" s="45">
        <v>6.2E-2</v>
      </c>
      <c r="AO31" s="45">
        <v>0.02</v>
      </c>
      <c r="AP31" s="45">
        <v>0.10299999999999999</v>
      </c>
      <c r="AQ31" s="45">
        <v>0.104</v>
      </c>
      <c r="AR31" s="45">
        <v>0.27</v>
      </c>
      <c r="AS31" s="44">
        <v>2.1999999999999999E-2</v>
      </c>
      <c r="AT31" s="45">
        <v>7.5999999999999998E-2</v>
      </c>
      <c r="AU31" s="45">
        <v>6.4000000000000001E-2</v>
      </c>
      <c r="AV31" s="45">
        <v>8.5999999999999993E-2</v>
      </c>
      <c r="AW31" s="44">
        <v>7.9000000000000001E-2</v>
      </c>
      <c r="AX31" s="44">
        <v>5.2999999999999999E-2</v>
      </c>
      <c r="AY31" s="45">
        <v>0.41899999999999998</v>
      </c>
      <c r="AZ31" s="45">
        <v>0.20699999999999999</v>
      </c>
      <c r="BA31" s="45">
        <v>5.0999999999999997E-2</v>
      </c>
      <c r="BB31" s="44">
        <v>6.2E-2</v>
      </c>
      <c r="BC31" s="44">
        <v>7.4999999999999997E-2</v>
      </c>
      <c r="BD31" s="45">
        <v>0</v>
      </c>
      <c r="BE31" s="44">
        <v>0</v>
      </c>
      <c r="BF31" s="44" t="e">
        <f>"new food('"&amp;B31&amp;"','"&amp;C31&amp;"','"&amp;#REF!&amp;"','"&amp;D31&amp;"','"&amp;E31&amp;"','"&amp;F31&amp;"','"&amp;G31&amp;"','"&amp;H31&amp;"','"&amp;I31&amp;"','"&amp;J31&amp;"','"&amp;K31&amp;"','"&amp;L31&amp;"','"&amp;M31&amp;"','"&amp;N31&amp;"','"&amp;O31&amp;"','"&amp;P31&amp;"','"&amp;Q31&amp;"','"&amp;R31&amp;"','"&amp;S31&amp;"','"&amp;T31&amp;"','"&amp;U31&amp;"','"&amp;V31&amp;"','"&amp;W31&amp;"','"&amp;X31&amp;"','"&amp;Y31&amp;"','"&amp;Z31&amp;"','"&amp;AA31&amp;"','"&amp;AB31&amp;"','"&amp;AC31&amp;"','"&amp;AD31&amp;"','"&amp;AE31&amp;"','"&amp;AF31&amp;"','"&amp;AG31&amp;"','"&amp;AH31&amp;"','"&amp;AI31&amp;"','"&amp;AJ31&amp;"','"&amp;AK31&amp;"','"&amp;AL31&amp;"','"&amp;AM31&amp;"','"&amp;AN31&amp;"','"&amp;AO31&amp;"','"&amp;AP31&amp;"','"&amp;AQ31&amp;"','"&amp;AR31&amp;"','"&amp;AS31&amp;"','"&amp;AT31&amp;"','"&amp;AU31&amp;"','"&amp;AV31&amp;"','"&amp;AW31&amp;"','"&amp;AX31&amp;"','"&amp;AY31&amp;"','"&amp;AZ31&amp;"','"&amp;BA31&amp;"','"&amp;BB31&amp;"','"&amp;BC31&amp;"','"&amp;BD31&amp;"','"&amp;BE31&amp;"'),"</f>
        <v>#REF!</v>
      </c>
    </row>
    <row r="32" spans="1:58" s="44" customFormat="1" ht="15" customHeight="1">
      <c r="A32" s="101">
        <v>170440</v>
      </c>
      <c r="B32" s="129" t="s">
        <v>362</v>
      </c>
      <c r="C32" s="45" t="s">
        <v>108</v>
      </c>
      <c r="D32" s="84" t="s">
        <v>229</v>
      </c>
      <c r="E32" s="101">
        <v>300</v>
      </c>
      <c r="F32" s="45">
        <v>1.71</v>
      </c>
      <c r="G32" s="44">
        <v>0.1</v>
      </c>
      <c r="H32" s="44">
        <v>20.010000000000002</v>
      </c>
      <c r="I32" s="45">
        <v>0.72</v>
      </c>
      <c r="J32" s="44">
        <v>86</v>
      </c>
      <c r="K32" s="45">
        <v>0.89</v>
      </c>
      <c r="L32" s="44">
        <v>1.8</v>
      </c>
      <c r="M32" s="45">
        <v>0.31</v>
      </c>
      <c r="N32" s="44">
        <v>20</v>
      </c>
      <c r="O32" s="45">
        <v>40</v>
      </c>
      <c r="P32" s="45">
        <v>328</v>
      </c>
      <c r="Q32" s="45">
        <v>5</v>
      </c>
      <c r="R32" s="45">
        <v>0.27</v>
      </c>
      <c r="S32" s="45">
        <v>0.16700000000000001</v>
      </c>
      <c r="T32" s="45">
        <v>0.14000000000000001</v>
      </c>
      <c r="U32" s="45">
        <v>0.3</v>
      </c>
      <c r="V32" s="44">
        <v>0</v>
      </c>
      <c r="W32" s="44">
        <v>0.01</v>
      </c>
      <c r="X32" s="44">
        <v>0</v>
      </c>
      <c r="Y32" s="62">
        <v>0</v>
      </c>
      <c r="Z32" s="46">
        <v>9</v>
      </c>
      <c r="AA32" s="45">
        <v>7.4</v>
      </c>
      <c r="AB32" s="45">
        <v>9.8000000000000004E-2</v>
      </c>
      <c r="AC32" s="44">
        <v>1.9E-2</v>
      </c>
      <c r="AD32" s="45">
        <v>1.3120000000000001</v>
      </c>
      <c r="AE32" s="45">
        <v>0.50800000000000001</v>
      </c>
      <c r="AF32" s="45">
        <v>0.26900000000000002</v>
      </c>
      <c r="AG32" s="45">
        <v>0</v>
      </c>
      <c r="AH32" s="44">
        <v>13.2</v>
      </c>
      <c r="AI32" s="45">
        <v>2.2000000000000002</v>
      </c>
      <c r="AJ32" s="44">
        <v>8</v>
      </c>
      <c r="AK32" s="44">
        <v>9</v>
      </c>
      <c r="AL32" s="44">
        <v>0.2</v>
      </c>
      <c r="AM32" s="45">
        <v>2.7E-2</v>
      </c>
      <c r="AN32" s="45">
        <v>6.2E-2</v>
      </c>
      <c r="AO32" s="45">
        <v>0.02</v>
      </c>
      <c r="AP32" s="45">
        <v>0.10299999999999999</v>
      </c>
      <c r="AQ32" s="45">
        <v>0.104</v>
      </c>
      <c r="AR32" s="45">
        <v>0.27</v>
      </c>
      <c r="AS32" s="44">
        <v>2.1999999999999999E-2</v>
      </c>
      <c r="AT32" s="45">
        <v>7.5999999999999998E-2</v>
      </c>
      <c r="AU32" s="45">
        <v>6.4000000000000001E-2</v>
      </c>
      <c r="AV32" s="45">
        <v>8.5999999999999993E-2</v>
      </c>
      <c r="AW32" s="44">
        <v>7.9000000000000001E-2</v>
      </c>
      <c r="AX32" s="44">
        <v>5.2999999999999999E-2</v>
      </c>
      <c r="AY32" s="45">
        <v>0.41899999999999998</v>
      </c>
      <c r="AZ32" s="45">
        <v>0.20699999999999999</v>
      </c>
      <c r="BA32" s="45">
        <v>5.0999999999999997E-2</v>
      </c>
      <c r="BB32" s="44">
        <v>6.2E-2</v>
      </c>
      <c r="BC32" s="44">
        <v>7.4999999999999997E-2</v>
      </c>
      <c r="BD32" s="45">
        <v>0</v>
      </c>
      <c r="BE32" s="44">
        <v>0</v>
      </c>
      <c r="BF32" s="44" t="e">
        <f>"new food('"&amp;B32&amp;"','"&amp;C32&amp;"','"&amp;#REF!&amp;"','"&amp;D32&amp;"','"&amp;E32&amp;"','"&amp;F32&amp;"','"&amp;G32&amp;"','"&amp;H32&amp;"','"&amp;I32&amp;"','"&amp;J32&amp;"','"&amp;K32&amp;"','"&amp;L32&amp;"','"&amp;M32&amp;"','"&amp;N32&amp;"','"&amp;O32&amp;"','"&amp;P32&amp;"','"&amp;Q32&amp;"','"&amp;R32&amp;"','"&amp;S32&amp;"','"&amp;T32&amp;"','"&amp;U32&amp;"','"&amp;V32&amp;"','"&amp;W32&amp;"','"&amp;X32&amp;"','"&amp;Y32&amp;"','"&amp;Z32&amp;"','"&amp;AA32&amp;"','"&amp;AB32&amp;"','"&amp;AC32&amp;"','"&amp;AD32&amp;"','"&amp;AE32&amp;"','"&amp;AF32&amp;"','"&amp;AG32&amp;"','"&amp;AH32&amp;"','"&amp;AI32&amp;"','"&amp;AJ32&amp;"','"&amp;AK32&amp;"','"&amp;AL32&amp;"','"&amp;AM32&amp;"','"&amp;AN32&amp;"','"&amp;AO32&amp;"','"&amp;AP32&amp;"','"&amp;AQ32&amp;"','"&amp;AR32&amp;"','"&amp;AS32&amp;"','"&amp;AT32&amp;"','"&amp;AU32&amp;"','"&amp;AV32&amp;"','"&amp;AW32&amp;"','"&amp;AX32&amp;"','"&amp;AY32&amp;"','"&amp;AZ32&amp;"','"&amp;BA32&amp;"','"&amp;BB32&amp;"','"&amp;BC32&amp;"','"&amp;BD32&amp;"','"&amp;BE32&amp;"'),"</f>
        <v>#REF!</v>
      </c>
    </row>
    <row r="33" spans="1:59" s="44" customFormat="1" ht="15" customHeight="1">
      <c r="A33" s="99">
        <v>173424</v>
      </c>
      <c r="B33" s="127">
        <v>1</v>
      </c>
      <c r="C33" s="61" t="s">
        <v>84</v>
      </c>
      <c r="D33" s="60" t="s">
        <v>229</v>
      </c>
      <c r="E33" s="99">
        <v>50</v>
      </c>
      <c r="F33" s="63">
        <v>12.58</v>
      </c>
      <c r="G33" s="63">
        <v>10.61</v>
      </c>
      <c r="H33" s="57">
        <v>1.1200000000000001</v>
      </c>
      <c r="I33" s="57">
        <v>1.08</v>
      </c>
      <c r="J33" s="56">
        <v>155</v>
      </c>
      <c r="K33" s="56">
        <v>1.1200000000000001</v>
      </c>
      <c r="L33" s="63">
        <v>0</v>
      </c>
      <c r="M33" s="61">
        <v>1.19</v>
      </c>
      <c r="N33" s="63">
        <v>10</v>
      </c>
      <c r="O33" s="63">
        <v>172</v>
      </c>
      <c r="P33" s="63">
        <v>126</v>
      </c>
      <c r="Q33" s="63">
        <v>124</v>
      </c>
      <c r="R33" s="57">
        <v>1.05</v>
      </c>
      <c r="S33" s="63">
        <v>1.2999999999999999E-2</v>
      </c>
      <c r="T33" s="63">
        <v>2.5999999999999999E-2</v>
      </c>
      <c r="U33" s="63">
        <v>30.8</v>
      </c>
      <c r="V33" s="63">
        <v>148</v>
      </c>
      <c r="W33" s="61">
        <v>1.03</v>
      </c>
      <c r="X33" s="61">
        <v>87</v>
      </c>
      <c r="Y33" s="61">
        <v>10</v>
      </c>
      <c r="Z33" s="63">
        <v>353</v>
      </c>
      <c r="AA33" s="63">
        <v>0</v>
      </c>
      <c r="AB33" s="63">
        <v>6.6000000000000003E-2</v>
      </c>
      <c r="AC33" s="63">
        <v>0.51300000000000001</v>
      </c>
      <c r="AD33" s="63">
        <v>6.4000000000000001E-2</v>
      </c>
      <c r="AE33" s="63">
        <v>1.3979999999999999</v>
      </c>
      <c r="AF33" s="63">
        <v>0.121</v>
      </c>
      <c r="AG33" s="63">
        <v>1.1299999999999999</v>
      </c>
      <c r="AH33" s="61">
        <v>293.8</v>
      </c>
      <c r="AI33" s="56">
        <v>0.3</v>
      </c>
      <c r="AJ33" s="63">
        <v>50</v>
      </c>
      <c r="AK33" s="61">
        <v>44</v>
      </c>
      <c r="AL33" s="61">
        <v>0.06</v>
      </c>
      <c r="AM33" s="56">
        <v>0.153</v>
      </c>
      <c r="AN33" s="63">
        <v>0</v>
      </c>
      <c r="AO33" s="63">
        <v>0.68600000000000005</v>
      </c>
      <c r="AP33" s="61">
        <v>1.075</v>
      </c>
      <c r="AQ33" s="63">
        <v>0.90400000000000003</v>
      </c>
      <c r="AR33" s="63">
        <v>0.39200000000000002</v>
      </c>
      <c r="AS33" s="63">
        <v>0.29199999999999998</v>
      </c>
      <c r="AT33" s="63">
        <v>0.66800000000000004</v>
      </c>
      <c r="AU33" s="63">
        <v>0.51300000000000001</v>
      </c>
      <c r="AV33" s="63">
        <v>0.76700000000000002</v>
      </c>
      <c r="AW33" s="56">
        <v>0.755</v>
      </c>
      <c r="AX33" s="61">
        <v>7.0000000000000007E-2</v>
      </c>
      <c r="AY33" s="61">
        <v>1.264</v>
      </c>
      <c r="AZ33" s="61">
        <v>1.044</v>
      </c>
      <c r="BA33" s="56">
        <v>0.42299999999999999</v>
      </c>
      <c r="BB33" s="56">
        <v>0.501</v>
      </c>
      <c r="BC33" s="56">
        <v>0.93600000000000005</v>
      </c>
      <c r="BD33" s="63">
        <v>373</v>
      </c>
      <c r="BE33" s="61">
        <v>4.077</v>
      </c>
      <c r="BF33" s="44" t="e">
        <f>"new food('"&amp;B33&amp;"','"&amp;C33&amp;"','"&amp;#REF!&amp;"','"&amp;D33&amp;"','"&amp;E33&amp;"','"&amp;F33&amp;"','"&amp;G33&amp;"','"&amp;H33&amp;"','"&amp;I33&amp;"','"&amp;J33&amp;"','"&amp;K33&amp;"','"&amp;L33&amp;"','"&amp;M33&amp;"','"&amp;N33&amp;"','"&amp;O33&amp;"','"&amp;P33&amp;"','"&amp;Q33&amp;"','"&amp;R33&amp;"','"&amp;S33&amp;"','"&amp;T33&amp;"','"&amp;U33&amp;"','"&amp;V33&amp;"','"&amp;W33&amp;"','"&amp;X33&amp;"','"&amp;Y33&amp;"','"&amp;Z33&amp;"','"&amp;AA33&amp;"','"&amp;AB33&amp;"','"&amp;AC33&amp;"','"&amp;AD33&amp;"','"&amp;AE33&amp;"','"&amp;AF33&amp;"','"&amp;AG33&amp;"','"&amp;AH33&amp;"','"&amp;AI33&amp;"','"&amp;AJ33&amp;"','"&amp;AK33&amp;"','"&amp;AL33&amp;"','"&amp;AM33&amp;"','"&amp;AN33&amp;"','"&amp;AO33&amp;"','"&amp;AP33&amp;"','"&amp;AQ33&amp;"','"&amp;AR33&amp;"','"&amp;AS33&amp;"','"&amp;AT33&amp;"','"&amp;AU33&amp;"','"&amp;AV33&amp;"','"&amp;AW33&amp;"','"&amp;AX33&amp;"','"&amp;AY33&amp;"','"&amp;AZ33&amp;"','"&amp;BA33&amp;"','"&amp;BB33&amp;"','"&amp;BC33&amp;"','"&amp;BD33&amp;"','"&amp;BE33&amp;"'),"</f>
        <v>#REF!</v>
      </c>
    </row>
    <row r="34" spans="1:59" s="44" customFormat="1" ht="15" customHeight="1">
      <c r="A34" s="99">
        <v>173424</v>
      </c>
      <c r="B34" s="127">
        <v>1</v>
      </c>
      <c r="C34" s="61" t="s">
        <v>84</v>
      </c>
      <c r="D34" s="60" t="s">
        <v>229</v>
      </c>
      <c r="E34" s="99">
        <v>50</v>
      </c>
      <c r="F34" s="63">
        <v>12.58</v>
      </c>
      <c r="G34" s="63">
        <v>10.61</v>
      </c>
      <c r="H34" s="57">
        <v>1.1200000000000001</v>
      </c>
      <c r="I34" s="57">
        <v>1.08</v>
      </c>
      <c r="J34" s="56">
        <v>155</v>
      </c>
      <c r="K34" s="56">
        <v>1.1200000000000001</v>
      </c>
      <c r="L34" s="63">
        <v>0</v>
      </c>
      <c r="M34" s="61">
        <v>1.19</v>
      </c>
      <c r="N34" s="63">
        <v>10</v>
      </c>
      <c r="O34" s="63">
        <v>172</v>
      </c>
      <c r="P34" s="63">
        <v>126</v>
      </c>
      <c r="Q34" s="63">
        <v>124</v>
      </c>
      <c r="R34" s="57">
        <v>1.05</v>
      </c>
      <c r="S34" s="63">
        <v>1.2999999999999999E-2</v>
      </c>
      <c r="T34" s="63">
        <v>2.5999999999999999E-2</v>
      </c>
      <c r="U34" s="63">
        <v>30.8</v>
      </c>
      <c r="V34" s="63">
        <v>148</v>
      </c>
      <c r="W34" s="61">
        <v>1.03</v>
      </c>
      <c r="X34" s="61">
        <v>87</v>
      </c>
      <c r="Y34" s="61">
        <v>10</v>
      </c>
      <c r="Z34" s="63">
        <v>353</v>
      </c>
      <c r="AA34" s="63">
        <v>0</v>
      </c>
      <c r="AB34" s="63">
        <v>6.6000000000000003E-2</v>
      </c>
      <c r="AC34" s="63">
        <v>0.51300000000000001</v>
      </c>
      <c r="AD34" s="63">
        <v>6.4000000000000001E-2</v>
      </c>
      <c r="AE34" s="63">
        <v>1.3979999999999999</v>
      </c>
      <c r="AF34" s="63">
        <v>0.121</v>
      </c>
      <c r="AG34" s="63">
        <v>1.1299999999999999</v>
      </c>
      <c r="AH34" s="61">
        <v>293.8</v>
      </c>
      <c r="AI34" s="56">
        <v>0.3</v>
      </c>
      <c r="AJ34" s="63">
        <v>50</v>
      </c>
      <c r="AK34" s="61">
        <v>44</v>
      </c>
      <c r="AL34" s="61">
        <v>0.06</v>
      </c>
      <c r="AM34" s="56">
        <v>0.153</v>
      </c>
      <c r="AN34" s="63">
        <v>0</v>
      </c>
      <c r="AO34" s="63">
        <v>0.68600000000000005</v>
      </c>
      <c r="AP34" s="61">
        <v>1.075</v>
      </c>
      <c r="AQ34" s="63">
        <v>0.90400000000000003</v>
      </c>
      <c r="AR34" s="63">
        <v>0.39200000000000002</v>
      </c>
      <c r="AS34" s="63">
        <v>0.29199999999999998</v>
      </c>
      <c r="AT34" s="63">
        <v>0.66800000000000004</v>
      </c>
      <c r="AU34" s="63">
        <v>0.51300000000000001</v>
      </c>
      <c r="AV34" s="63">
        <v>0.76700000000000002</v>
      </c>
      <c r="AW34" s="56">
        <v>0.755</v>
      </c>
      <c r="AX34" s="61">
        <v>7.0000000000000007E-2</v>
      </c>
      <c r="AY34" s="61">
        <v>1.264</v>
      </c>
      <c r="AZ34" s="61">
        <v>1.044</v>
      </c>
      <c r="BA34" s="56">
        <v>0.42299999999999999</v>
      </c>
      <c r="BB34" s="56">
        <v>0.501</v>
      </c>
      <c r="BC34" s="56">
        <v>0.93600000000000005</v>
      </c>
      <c r="BD34" s="63">
        <v>373</v>
      </c>
      <c r="BE34" s="61">
        <v>4.077</v>
      </c>
      <c r="BF34" s="44" t="e">
        <f>"new food('"&amp;B34&amp;"','"&amp;C34&amp;"','"&amp;#REF!&amp;"','"&amp;D34&amp;"','"&amp;E34&amp;"','"&amp;F34&amp;"','"&amp;G34&amp;"','"&amp;H34&amp;"','"&amp;I34&amp;"','"&amp;J34&amp;"','"&amp;K34&amp;"','"&amp;L34&amp;"','"&amp;M34&amp;"','"&amp;N34&amp;"','"&amp;O34&amp;"','"&amp;P34&amp;"','"&amp;Q34&amp;"','"&amp;R34&amp;"','"&amp;S34&amp;"','"&amp;T34&amp;"','"&amp;U34&amp;"','"&amp;V34&amp;"','"&amp;W34&amp;"','"&amp;X34&amp;"','"&amp;Y34&amp;"','"&amp;Z34&amp;"','"&amp;AA34&amp;"','"&amp;AB34&amp;"','"&amp;AC34&amp;"','"&amp;AD34&amp;"','"&amp;AE34&amp;"','"&amp;AF34&amp;"','"&amp;AG34&amp;"','"&amp;AH34&amp;"','"&amp;AI34&amp;"','"&amp;AJ34&amp;"','"&amp;AK34&amp;"','"&amp;AL34&amp;"','"&amp;AM34&amp;"','"&amp;AN34&amp;"','"&amp;AO34&amp;"','"&amp;AP34&amp;"','"&amp;AQ34&amp;"','"&amp;AR34&amp;"','"&amp;AS34&amp;"','"&amp;AT34&amp;"','"&amp;AU34&amp;"','"&amp;AV34&amp;"','"&amp;AW34&amp;"','"&amp;AX34&amp;"','"&amp;AY34&amp;"','"&amp;AZ34&amp;"','"&amp;BA34&amp;"','"&amp;BB34&amp;"','"&amp;BC34&amp;"','"&amp;BD34&amp;"','"&amp;BE34&amp;"'),"</f>
        <v>#REF!</v>
      </c>
    </row>
    <row r="35" spans="1:59" s="44" customFormat="1" ht="15" customHeight="1">
      <c r="A35" s="97">
        <v>1300559</v>
      </c>
      <c r="B35" s="61" t="s">
        <v>369</v>
      </c>
      <c r="C35" s="50" t="s">
        <v>311</v>
      </c>
      <c r="D35" s="97">
        <v>15</v>
      </c>
      <c r="E35" s="56">
        <v>0</v>
      </c>
      <c r="F35" s="63">
        <v>33.33</v>
      </c>
      <c r="G35">
        <v>11.67</v>
      </c>
      <c r="H35">
        <v>0</v>
      </c>
      <c r="I35">
        <v>333</v>
      </c>
      <c r="J35" s="63">
        <v>6.67</v>
      </c>
      <c r="K35">
        <v>0</v>
      </c>
      <c r="L35">
        <v>0</v>
      </c>
      <c r="M35" s="56">
        <v>0</v>
      </c>
      <c r="N35"/>
      <c r="O35" s="56">
        <v>6.67</v>
      </c>
      <c r="P35" s="56">
        <v>20</v>
      </c>
      <c r="Q35" s="63">
        <v>0</v>
      </c>
      <c r="R35" s="63">
        <v>0</v>
      </c>
      <c r="S35" s="63">
        <v>0</v>
      </c>
      <c r="T35" s="63">
        <v>0</v>
      </c>
      <c r="U35" s="63">
        <v>0</v>
      </c>
      <c r="V35" s="63">
        <v>0</v>
      </c>
      <c r="W35" s="63">
        <v>0</v>
      </c>
      <c r="X35" s="63">
        <v>0</v>
      </c>
      <c r="Y35" s="32">
        <v>0</v>
      </c>
      <c r="Z35" s="63">
        <v>0</v>
      </c>
      <c r="AA35" s="63">
        <v>0</v>
      </c>
      <c r="AB35" s="63">
        <v>0</v>
      </c>
      <c r="AC35"/>
      <c r="AD35" s="63">
        <v>0</v>
      </c>
      <c r="AE35" s="63">
        <v>0</v>
      </c>
      <c r="AF35" s="56">
        <v>0</v>
      </c>
      <c r="AG35" s="56">
        <v>0</v>
      </c>
      <c r="AH35" s="56">
        <v>0</v>
      </c>
      <c r="AI35" s="56">
        <v>0</v>
      </c>
      <c r="AJ35" s="56">
        <v>0</v>
      </c>
      <c r="AK35" s="56">
        <v>0</v>
      </c>
      <c r="AL35" s="56">
        <v>0</v>
      </c>
      <c r="AM35" s="63">
        <v>0</v>
      </c>
      <c r="AN35" s="63">
        <v>0</v>
      </c>
      <c r="AO35" s="63">
        <v>0</v>
      </c>
      <c r="AP35" s="63">
        <v>0</v>
      </c>
      <c r="AQ35" s="63">
        <v>0</v>
      </c>
      <c r="AR35" s="63">
        <v>0</v>
      </c>
      <c r="AS35" s="63">
        <v>0</v>
      </c>
      <c r="AT35" s="63">
        <v>0</v>
      </c>
      <c r="AU35" s="63">
        <v>0</v>
      </c>
      <c r="AV35" s="63">
        <v>0</v>
      </c>
      <c r="AW35" s="63">
        <v>0</v>
      </c>
      <c r="AX35" s="63">
        <v>0</v>
      </c>
      <c r="AY35" s="63">
        <v>0</v>
      </c>
      <c r="AZ35" s="63">
        <v>0</v>
      </c>
      <c r="BA35" s="56">
        <v>0</v>
      </c>
      <c r="BB35" s="56">
        <v>0</v>
      </c>
      <c r="BC35" s="56">
        <v>0</v>
      </c>
      <c r="BD35" s="56">
        <v>6.67</v>
      </c>
    </row>
    <row r="36" spans="1:59" s="44" customFormat="1" ht="15" customHeight="1">
      <c r="A36" s="98">
        <v>2705497</v>
      </c>
      <c r="B36" s="44" t="s">
        <v>278</v>
      </c>
      <c r="C36" s="50" t="s">
        <v>280</v>
      </c>
      <c r="D36" s="60" t="s">
        <v>221</v>
      </c>
      <c r="E36" s="110"/>
      <c r="F36" s="62">
        <f>G43/2</f>
        <v>1.58</v>
      </c>
      <c r="G36" s="62">
        <f t="shared" ref="G36:BE36" si="6">H43/2</f>
        <v>0.9</v>
      </c>
      <c r="H36" s="62">
        <f t="shared" si="6"/>
        <v>5.35</v>
      </c>
      <c r="I36" s="62">
        <f t="shared" si="6"/>
        <v>0</v>
      </c>
      <c r="J36" s="62">
        <f t="shared" si="6"/>
        <v>35.5</v>
      </c>
      <c r="K36" s="62">
        <f t="shared" si="6"/>
        <v>5.23</v>
      </c>
      <c r="L36" s="62">
        <f t="shared" si="6"/>
        <v>0</v>
      </c>
      <c r="M36" s="62">
        <f t="shared" si="6"/>
        <v>1.4999999999999999E-2</v>
      </c>
      <c r="N36" s="62">
        <f t="shared" si="6"/>
        <v>5.5</v>
      </c>
      <c r="O36" s="62">
        <f t="shared" si="6"/>
        <v>48.5</v>
      </c>
      <c r="P36" s="62">
        <f t="shared" si="6"/>
        <v>75</v>
      </c>
      <c r="Q36" s="62">
        <f t="shared" si="6"/>
        <v>19.5</v>
      </c>
      <c r="R36" s="62">
        <f t="shared" si="6"/>
        <v>0.2</v>
      </c>
      <c r="S36" s="62">
        <f t="shared" si="6"/>
        <v>5.0000000000000001E-4</v>
      </c>
      <c r="T36" s="62">
        <f t="shared" si="6"/>
        <v>0</v>
      </c>
      <c r="U36" s="62">
        <f t="shared" si="6"/>
        <v>0.85</v>
      </c>
      <c r="V36" s="62">
        <f t="shared" si="6"/>
        <v>39</v>
      </c>
      <c r="W36" s="62">
        <f t="shared" si="6"/>
        <v>1.4999999999999999E-2</v>
      </c>
      <c r="X36" s="62">
        <f t="shared" si="6"/>
        <v>0</v>
      </c>
      <c r="Y36" s="62">
        <f t="shared" si="6"/>
        <v>0</v>
      </c>
      <c r="Z36" s="62">
        <f t="shared" si="6"/>
        <v>0</v>
      </c>
      <c r="AA36" s="62">
        <f t="shared" si="6"/>
        <v>0.1</v>
      </c>
      <c r="AB36" s="62">
        <f t="shared" si="6"/>
        <v>2.8000000000000001E-2</v>
      </c>
      <c r="AC36" s="62">
        <f t="shared" si="6"/>
        <v>6.7500000000000004E-2</v>
      </c>
      <c r="AD36" s="62">
        <f t="shared" si="6"/>
        <v>5.5E-2</v>
      </c>
      <c r="AE36" s="62">
        <f t="shared" si="6"/>
        <v>0</v>
      </c>
      <c r="AF36" s="62">
        <f t="shared" si="6"/>
        <v>2.8500000000000001E-2</v>
      </c>
      <c r="AG36" s="62">
        <f t="shared" si="6"/>
        <v>0.26</v>
      </c>
      <c r="AH36" s="62">
        <f t="shared" si="6"/>
        <v>8.5500000000000007</v>
      </c>
      <c r="AI36" s="62">
        <f t="shared" si="6"/>
        <v>0.1</v>
      </c>
      <c r="AJ36" s="62">
        <f t="shared" si="6"/>
        <v>1</v>
      </c>
      <c r="AK36" s="62">
        <f t="shared" si="6"/>
        <v>1</v>
      </c>
      <c r="AL36" s="62">
        <f t="shared" si="6"/>
        <v>0</v>
      </c>
      <c r="AM36" s="62">
        <f t="shared" si="6"/>
        <v>0</v>
      </c>
      <c r="AN36" s="62">
        <f t="shared" si="6"/>
        <v>0</v>
      </c>
      <c r="AO36" s="62">
        <f t="shared" si="6"/>
        <v>0</v>
      </c>
      <c r="AP36" s="62">
        <f t="shared" si="6"/>
        <v>0</v>
      </c>
      <c r="AQ36" s="62">
        <f t="shared" si="6"/>
        <v>0</v>
      </c>
      <c r="AR36" s="62">
        <f t="shared" si="6"/>
        <v>0</v>
      </c>
      <c r="AS36" s="62">
        <f t="shared" si="6"/>
        <v>0</v>
      </c>
      <c r="AT36" s="62">
        <f t="shared" si="6"/>
        <v>0</v>
      </c>
      <c r="AU36" s="62">
        <f t="shared" si="6"/>
        <v>0</v>
      </c>
      <c r="AV36" s="62">
        <f t="shared" si="6"/>
        <v>0</v>
      </c>
      <c r="AW36" s="62">
        <f t="shared" si="6"/>
        <v>0</v>
      </c>
      <c r="AX36" s="62">
        <f t="shared" si="6"/>
        <v>0</v>
      </c>
      <c r="AY36" s="62">
        <f t="shared" si="6"/>
        <v>0</v>
      </c>
      <c r="AZ36" s="62">
        <f t="shared" si="6"/>
        <v>0</v>
      </c>
      <c r="BA36" s="62">
        <f t="shared" si="6"/>
        <v>0</v>
      </c>
      <c r="BB36" s="62">
        <f t="shared" si="6"/>
        <v>0</v>
      </c>
      <c r="BC36" s="62">
        <f t="shared" si="6"/>
        <v>0</v>
      </c>
      <c r="BD36" s="62">
        <f t="shared" si="6"/>
        <v>4</v>
      </c>
      <c r="BE36" s="62">
        <f t="shared" si="6"/>
        <v>0.1875</v>
      </c>
      <c r="BF36" s="44" t="e">
        <f>"new food('"&amp;#REF!&amp;"','"&amp;B36&amp;"','"&amp;C36&amp;"','"&amp;D36&amp;"','"&amp;E36&amp;"','"&amp;F36&amp;"','"&amp;G36&amp;"','"&amp;H36&amp;"','"&amp;I36&amp;"','"&amp;J36&amp;"','"&amp;K36&amp;"','"&amp;L36&amp;"','"&amp;M36&amp;"','"&amp;N36&amp;"','"&amp;O36&amp;"','"&amp;P36&amp;"','"&amp;Q36&amp;"','"&amp;R36&amp;"','"&amp;S36&amp;"','"&amp;T36&amp;"','"&amp;U36&amp;"','"&amp;V36&amp;"','"&amp;W36&amp;"','"&amp;X36&amp;"','"&amp;Y36&amp;"','"&amp;Z36&amp;"','"&amp;AA36&amp;"','"&amp;AB36&amp;"','"&amp;AC36&amp;"','"&amp;AD36&amp;"','"&amp;AE36&amp;"','"&amp;AF36&amp;"','"&amp;AG36&amp;"','"&amp;AH36&amp;"','"&amp;AI36&amp;"','"&amp;AJ36&amp;"','"&amp;AK36&amp;"','"&amp;AL36&amp;"','"&amp;AM36&amp;"','"&amp;AN36&amp;"','"&amp;AO36&amp;"','"&amp;AP36&amp;"','"&amp;AQ36&amp;"','"&amp;AR36&amp;"','"&amp;AS36&amp;"','"&amp;AT36&amp;"','"&amp;AU36&amp;"','"&amp;AV36&amp;"','"&amp;AW36&amp;"','"&amp;AX36&amp;"','"&amp;AY36&amp;"','"&amp;AZ36&amp;"','"&amp;BA36&amp;"','"&amp;BB36&amp;"','"&amp;BC36&amp;"','"&amp;BD36&amp;"','"&amp;BE36&amp;"'),"</f>
        <v>#REF!</v>
      </c>
    </row>
    <row r="37" spans="1:59" s="44" customFormat="1" ht="15" customHeight="1">
      <c r="A37" s="97">
        <v>2710089</v>
      </c>
      <c r="B37" s="61" t="s">
        <v>370</v>
      </c>
      <c r="C37" s="50" t="s">
        <v>311</v>
      </c>
      <c r="D37" s="60" t="s">
        <v>371</v>
      </c>
      <c r="E37" s="97"/>
      <c r="F37" s="56">
        <v>1.03</v>
      </c>
      <c r="G37" s="63">
        <v>15.32</v>
      </c>
      <c r="H37">
        <v>3.84</v>
      </c>
      <c r="I37">
        <v>0</v>
      </c>
      <c r="J37">
        <v>145</v>
      </c>
      <c r="K37" s="63">
        <v>0.54</v>
      </c>
      <c r="L37">
        <v>3.3</v>
      </c>
      <c r="M37">
        <v>0.49</v>
      </c>
      <c r="N37" s="56">
        <v>11</v>
      </c>
      <c r="O37" s="56">
        <v>4</v>
      </c>
      <c r="P37" s="56">
        <v>42</v>
      </c>
      <c r="Q37" s="56">
        <v>1556</v>
      </c>
      <c r="R37" s="63">
        <v>0.04</v>
      </c>
      <c r="S37" s="63">
        <v>0.12</v>
      </c>
      <c r="T37" s="63">
        <v>0</v>
      </c>
      <c r="U37" s="63">
        <v>0.9</v>
      </c>
      <c r="V37" s="63">
        <v>0</v>
      </c>
      <c r="W37" s="63">
        <v>3.81</v>
      </c>
      <c r="X37" s="63">
        <v>0</v>
      </c>
      <c r="Y37" s="63">
        <v>9</v>
      </c>
      <c r="Z37" s="32">
        <v>510</v>
      </c>
      <c r="AA37" s="63">
        <v>0</v>
      </c>
      <c r="AB37" s="63">
        <v>2.1000000000000001E-2</v>
      </c>
      <c r="AC37" s="63">
        <v>0.01</v>
      </c>
      <c r="AD37" s="56">
        <v>0.24</v>
      </c>
      <c r="AE37" s="63">
        <v>0</v>
      </c>
      <c r="AF37" s="63">
        <v>0.03</v>
      </c>
      <c r="AG37" s="56">
        <v>0</v>
      </c>
      <c r="AH37" s="56">
        <v>14.2</v>
      </c>
      <c r="AI37" s="56">
        <v>1.4</v>
      </c>
      <c r="AJ37" s="56">
        <v>3</v>
      </c>
      <c r="AK37" s="56">
        <v>3</v>
      </c>
      <c r="AL37" s="56">
        <v>0</v>
      </c>
      <c r="AM37" s="56">
        <v>0</v>
      </c>
      <c r="AN37" s="63">
        <v>0</v>
      </c>
      <c r="AO37" s="63">
        <v>0</v>
      </c>
      <c r="AP37" s="63">
        <v>0</v>
      </c>
      <c r="AQ37" s="63">
        <v>0</v>
      </c>
      <c r="AR37" s="63">
        <v>0</v>
      </c>
      <c r="AS37" s="63">
        <v>0</v>
      </c>
      <c r="AT37" s="63">
        <v>0</v>
      </c>
      <c r="AU37" s="63">
        <v>0</v>
      </c>
      <c r="AV37" s="63">
        <v>0</v>
      </c>
      <c r="AW37" s="63">
        <v>0</v>
      </c>
      <c r="AX37" s="63">
        <v>0</v>
      </c>
      <c r="AY37" s="63">
        <v>0</v>
      </c>
      <c r="AZ37" s="63">
        <v>0</v>
      </c>
      <c r="BA37" s="63">
        <v>0</v>
      </c>
      <c r="BB37" s="56">
        <v>0</v>
      </c>
      <c r="BC37" s="56">
        <v>0</v>
      </c>
      <c r="BD37" s="56">
        <v>0</v>
      </c>
      <c r="BE37" s="56">
        <v>11.31</v>
      </c>
    </row>
    <row r="38" spans="1:59" s="44" customFormat="1" ht="15" customHeight="1">
      <c r="A38" s="97">
        <v>2710089</v>
      </c>
      <c r="B38" s="61" t="s">
        <v>370</v>
      </c>
      <c r="C38" s="50" t="s">
        <v>311</v>
      </c>
      <c r="D38" s="60" t="s">
        <v>371</v>
      </c>
      <c r="E38" s="97"/>
      <c r="F38" s="56">
        <v>1.03</v>
      </c>
      <c r="G38" s="63">
        <v>15.32</v>
      </c>
      <c r="H38">
        <v>3.84</v>
      </c>
      <c r="I38">
        <v>0</v>
      </c>
      <c r="J38">
        <v>145</v>
      </c>
      <c r="K38" s="63">
        <v>0.54</v>
      </c>
      <c r="L38">
        <v>3.3</v>
      </c>
      <c r="M38">
        <v>0.49</v>
      </c>
      <c r="N38" s="56">
        <v>11</v>
      </c>
      <c r="O38" s="56">
        <v>4</v>
      </c>
      <c r="P38" s="56">
        <v>42</v>
      </c>
      <c r="Q38" s="56">
        <v>1556</v>
      </c>
      <c r="R38" s="63">
        <v>0.04</v>
      </c>
      <c r="S38" s="63">
        <v>0.12</v>
      </c>
      <c r="T38" s="63">
        <v>0</v>
      </c>
      <c r="U38" s="63">
        <v>0.9</v>
      </c>
      <c r="V38" s="63">
        <v>0</v>
      </c>
      <c r="W38" s="63">
        <v>3.81</v>
      </c>
      <c r="X38" s="63">
        <v>0</v>
      </c>
      <c r="Y38" s="63">
        <v>9</v>
      </c>
      <c r="Z38" s="32">
        <v>510</v>
      </c>
      <c r="AA38" s="63">
        <v>0</v>
      </c>
      <c r="AB38" s="63">
        <v>2.1000000000000001E-2</v>
      </c>
      <c r="AC38" s="63">
        <v>0.01</v>
      </c>
      <c r="AD38" s="56">
        <v>0.24</v>
      </c>
      <c r="AE38" s="63">
        <v>0</v>
      </c>
      <c r="AF38" s="63">
        <v>0.03</v>
      </c>
      <c r="AG38" s="56">
        <v>0</v>
      </c>
      <c r="AH38" s="56">
        <v>14.2</v>
      </c>
      <c r="AI38" s="56">
        <v>1.4</v>
      </c>
      <c r="AJ38" s="56">
        <v>3</v>
      </c>
      <c r="AK38" s="56">
        <v>3</v>
      </c>
      <c r="AL38" s="56">
        <v>0</v>
      </c>
      <c r="AM38" s="56">
        <v>0</v>
      </c>
      <c r="AN38" s="63">
        <v>0</v>
      </c>
      <c r="AO38" s="63">
        <v>0</v>
      </c>
      <c r="AP38" s="63">
        <v>0</v>
      </c>
      <c r="AQ38" s="63">
        <v>0</v>
      </c>
      <c r="AR38" s="63">
        <v>0</v>
      </c>
      <c r="AS38" s="63">
        <v>0</v>
      </c>
      <c r="AT38" s="63">
        <v>0</v>
      </c>
      <c r="AU38" s="63">
        <v>0</v>
      </c>
      <c r="AV38" s="63">
        <v>0</v>
      </c>
      <c r="AW38" s="63">
        <v>0</v>
      </c>
      <c r="AX38" s="63">
        <v>0</v>
      </c>
      <c r="AY38" s="63">
        <v>0</v>
      </c>
      <c r="AZ38" s="63">
        <v>0</v>
      </c>
      <c r="BA38" s="63">
        <v>0</v>
      </c>
      <c r="BB38" s="56">
        <v>0</v>
      </c>
      <c r="BC38" s="56">
        <v>0</v>
      </c>
      <c r="BD38" s="56">
        <v>0</v>
      </c>
      <c r="BE38" s="56">
        <v>11.31</v>
      </c>
    </row>
    <row r="39" spans="1:59" s="44" customFormat="1" ht="15" customHeight="1">
      <c r="A39" s="97">
        <v>2710089</v>
      </c>
      <c r="B39" s="61" t="s">
        <v>370</v>
      </c>
      <c r="C39" s="50" t="s">
        <v>311</v>
      </c>
      <c r="D39" s="60" t="s">
        <v>371</v>
      </c>
      <c r="E39" s="97"/>
      <c r="F39" s="56">
        <v>1.03</v>
      </c>
      <c r="G39" s="63">
        <v>15.32</v>
      </c>
      <c r="H39">
        <v>3.84</v>
      </c>
      <c r="I39">
        <v>0</v>
      </c>
      <c r="J39">
        <v>145</v>
      </c>
      <c r="K39" s="63">
        <v>0.54</v>
      </c>
      <c r="L39">
        <v>3.3</v>
      </c>
      <c r="M39">
        <v>0.49</v>
      </c>
      <c r="N39" s="56">
        <v>11</v>
      </c>
      <c r="O39" s="56">
        <v>4</v>
      </c>
      <c r="P39" s="56">
        <v>42</v>
      </c>
      <c r="Q39" s="56">
        <v>1556</v>
      </c>
      <c r="R39" s="63">
        <v>0.04</v>
      </c>
      <c r="S39" s="63">
        <v>0.12</v>
      </c>
      <c r="T39" s="63">
        <v>0</v>
      </c>
      <c r="U39" s="63">
        <v>0.9</v>
      </c>
      <c r="V39" s="63">
        <v>0</v>
      </c>
      <c r="W39" s="63">
        <v>3.81</v>
      </c>
      <c r="X39" s="63">
        <v>0</v>
      </c>
      <c r="Y39" s="63">
        <v>9</v>
      </c>
      <c r="Z39" s="32">
        <v>510</v>
      </c>
      <c r="AA39" s="63">
        <v>0</v>
      </c>
      <c r="AB39" s="63">
        <v>2.1000000000000001E-2</v>
      </c>
      <c r="AC39" s="63">
        <v>0.01</v>
      </c>
      <c r="AD39" s="56">
        <v>0.24</v>
      </c>
      <c r="AE39" s="63">
        <v>0</v>
      </c>
      <c r="AF39" s="63">
        <v>0.03</v>
      </c>
      <c r="AG39" s="56">
        <v>0</v>
      </c>
      <c r="AH39" s="56">
        <v>14.2</v>
      </c>
      <c r="AI39" s="56">
        <v>1.4</v>
      </c>
      <c r="AJ39" s="56">
        <v>3</v>
      </c>
      <c r="AK39" s="56">
        <v>3</v>
      </c>
      <c r="AL39" s="56">
        <v>0</v>
      </c>
      <c r="AM39" s="56">
        <v>0</v>
      </c>
      <c r="AN39" s="63">
        <v>0</v>
      </c>
      <c r="AO39" s="63">
        <v>0</v>
      </c>
      <c r="AP39" s="63">
        <v>0</v>
      </c>
      <c r="AQ39" s="63">
        <v>0</v>
      </c>
      <c r="AR39" s="63">
        <v>0</v>
      </c>
      <c r="AS39" s="63">
        <v>0</v>
      </c>
      <c r="AT39" s="63">
        <v>0</v>
      </c>
      <c r="AU39" s="63">
        <v>0</v>
      </c>
      <c r="AV39" s="63">
        <v>0</v>
      </c>
      <c r="AW39" s="63">
        <v>0</v>
      </c>
      <c r="AX39" s="63">
        <v>0</v>
      </c>
      <c r="AY39" s="63">
        <v>0</v>
      </c>
      <c r="AZ39" s="63">
        <v>0</v>
      </c>
      <c r="BA39" s="63">
        <v>0</v>
      </c>
      <c r="BB39" s="56">
        <v>0</v>
      </c>
      <c r="BC39" s="56">
        <v>0</v>
      </c>
      <c r="BD39" s="56">
        <v>0</v>
      </c>
      <c r="BE39" s="56">
        <v>11.31</v>
      </c>
    </row>
    <row r="40" spans="1:59" s="44" customFormat="1" ht="15" customHeight="1">
      <c r="A40" s="97">
        <v>2710089</v>
      </c>
      <c r="B40" s="61" t="s">
        <v>370</v>
      </c>
      <c r="C40" s="50" t="s">
        <v>311</v>
      </c>
      <c r="D40" s="60" t="s">
        <v>371</v>
      </c>
      <c r="E40" s="97"/>
      <c r="F40" s="56">
        <v>1.03</v>
      </c>
      <c r="G40" s="63">
        <v>15.32</v>
      </c>
      <c r="H40">
        <v>3.84</v>
      </c>
      <c r="I40">
        <v>0</v>
      </c>
      <c r="J40">
        <v>145</v>
      </c>
      <c r="K40" s="63">
        <v>0.54</v>
      </c>
      <c r="L40">
        <v>3.3</v>
      </c>
      <c r="M40">
        <v>0.49</v>
      </c>
      <c r="N40" s="56">
        <v>11</v>
      </c>
      <c r="O40" s="56">
        <v>4</v>
      </c>
      <c r="P40" s="56">
        <v>42</v>
      </c>
      <c r="Q40" s="56">
        <v>1556</v>
      </c>
      <c r="R40" s="63">
        <v>0.04</v>
      </c>
      <c r="S40" s="63">
        <v>0.12</v>
      </c>
      <c r="T40" s="63">
        <v>0</v>
      </c>
      <c r="U40" s="63">
        <v>0.9</v>
      </c>
      <c r="V40" s="63">
        <v>0</v>
      </c>
      <c r="W40" s="63">
        <v>3.81</v>
      </c>
      <c r="X40" s="63">
        <v>0</v>
      </c>
      <c r="Y40" s="63">
        <v>9</v>
      </c>
      <c r="Z40" s="32">
        <v>510</v>
      </c>
      <c r="AA40" s="63">
        <v>0</v>
      </c>
      <c r="AB40" s="63">
        <v>2.1000000000000001E-2</v>
      </c>
      <c r="AC40" s="63">
        <v>0.01</v>
      </c>
      <c r="AD40" s="56">
        <v>0.24</v>
      </c>
      <c r="AE40" s="63">
        <v>0</v>
      </c>
      <c r="AF40" s="63">
        <v>0.03</v>
      </c>
      <c r="AG40" s="56">
        <v>0</v>
      </c>
      <c r="AH40" s="56">
        <v>14.2</v>
      </c>
      <c r="AI40" s="56">
        <v>1.4</v>
      </c>
      <c r="AJ40" s="56">
        <v>3</v>
      </c>
      <c r="AK40" s="56">
        <v>3</v>
      </c>
      <c r="AL40" s="56">
        <v>0</v>
      </c>
      <c r="AM40" s="56">
        <v>0</v>
      </c>
      <c r="AN40" s="63">
        <v>0</v>
      </c>
      <c r="AO40" s="63">
        <v>0</v>
      </c>
      <c r="AP40" s="63">
        <v>0</v>
      </c>
      <c r="AQ40" s="63">
        <v>0</v>
      </c>
      <c r="AR40" s="63">
        <v>0</v>
      </c>
      <c r="AS40" s="63">
        <v>0</v>
      </c>
      <c r="AT40" s="63">
        <v>0</v>
      </c>
      <c r="AU40" s="63">
        <v>0</v>
      </c>
      <c r="AV40" s="63">
        <v>0</v>
      </c>
      <c r="AW40" s="63">
        <v>0</v>
      </c>
      <c r="AX40" s="63">
        <v>0</v>
      </c>
      <c r="AY40" s="63">
        <v>0</v>
      </c>
      <c r="AZ40" s="63">
        <v>0</v>
      </c>
      <c r="BA40" s="63">
        <v>0</v>
      </c>
      <c r="BB40" s="56">
        <v>0</v>
      </c>
      <c r="BC40" s="56">
        <v>0</v>
      </c>
      <c r="BD40" s="56">
        <v>0</v>
      </c>
      <c r="BE40" s="56">
        <v>11.31</v>
      </c>
    </row>
    <row r="41" spans="1:59">
      <c r="F41" s="35">
        <f>SUM(F31:F40)/5</f>
        <v>13.522</v>
      </c>
      <c r="G41" s="35">
        <f t="shared" ref="G41:BE41" si="7">SUM(G31:G40)/5</f>
        <v>19.053999999999995</v>
      </c>
      <c r="H41" s="35">
        <f t="shared" si="7"/>
        <v>12.594000000000003</v>
      </c>
      <c r="I41" s="35">
        <f t="shared" si="7"/>
        <v>67.320000000000007</v>
      </c>
      <c r="J41" s="35">
        <f t="shared" si="7"/>
        <v>220.834</v>
      </c>
      <c r="K41" s="35">
        <f t="shared" si="7"/>
        <v>2.2819999999999991</v>
      </c>
      <c r="L41" s="35">
        <f t="shared" si="7"/>
        <v>3.3600000000000003</v>
      </c>
      <c r="M41" s="35">
        <f t="shared" si="7"/>
        <v>0.99500000000000011</v>
      </c>
      <c r="N41" s="35">
        <f t="shared" si="7"/>
        <v>21.9</v>
      </c>
      <c r="O41" s="35">
        <f t="shared" si="7"/>
        <v>99.034000000000006</v>
      </c>
      <c r="P41" s="35">
        <f t="shared" si="7"/>
        <v>234.2</v>
      </c>
      <c r="Q41" s="35">
        <f t="shared" si="7"/>
        <v>1300.3</v>
      </c>
      <c r="R41" s="35">
        <f t="shared" si="7"/>
        <v>0.60000000000000009</v>
      </c>
      <c r="S41" s="35">
        <f t="shared" si="7"/>
        <v>0.1681</v>
      </c>
      <c r="T41" s="35">
        <f t="shared" si="7"/>
        <v>6.6400000000000015E-2</v>
      </c>
      <c r="U41" s="35">
        <f t="shared" si="7"/>
        <v>13.330000000000004</v>
      </c>
      <c r="V41" s="35">
        <f t="shared" si="7"/>
        <v>67</v>
      </c>
      <c r="W41" s="35">
        <f t="shared" si="7"/>
        <v>3.4670000000000001</v>
      </c>
      <c r="X41" s="35">
        <f t="shared" si="7"/>
        <v>34.799999999999997</v>
      </c>
      <c r="Y41" s="35">
        <f t="shared" si="7"/>
        <v>11.2</v>
      </c>
      <c r="Z41" s="35">
        <f t="shared" si="7"/>
        <v>552.79999999999995</v>
      </c>
      <c r="AA41" s="35">
        <f t="shared" si="7"/>
        <v>2.98</v>
      </c>
      <c r="AB41" s="35">
        <f t="shared" si="7"/>
        <v>8.8000000000000023E-2</v>
      </c>
      <c r="AC41" s="35">
        <f t="shared" si="7"/>
        <v>0.23430000000000001</v>
      </c>
      <c r="AD41" s="35">
        <f t="shared" si="7"/>
        <v>0.75340000000000029</v>
      </c>
      <c r="AE41" s="35">
        <f t="shared" si="7"/>
        <v>0.76239999999999986</v>
      </c>
      <c r="AF41" s="35">
        <f t="shared" si="7"/>
        <v>0.18570000000000003</v>
      </c>
      <c r="AG41" s="35">
        <f t="shared" si="7"/>
        <v>0.50399999999999989</v>
      </c>
      <c r="AH41" s="35">
        <f t="shared" si="7"/>
        <v>135.87000000000003</v>
      </c>
      <c r="AI41" s="35">
        <f t="shared" si="7"/>
        <v>2.14</v>
      </c>
      <c r="AJ41" s="35">
        <f t="shared" si="7"/>
        <v>25.8</v>
      </c>
      <c r="AK41" s="35">
        <f t="shared" si="7"/>
        <v>23.8</v>
      </c>
      <c r="AL41" s="35">
        <f t="shared" si="7"/>
        <v>0.10400000000000001</v>
      </c>
      <c r="AM41" s="35">
        <f t="shared" si="7"/>
        <v>7.1999999999999995E-2</v>
      </c>
      <c r="AN41" s="35">
        <f t="shared" si="7"/>
        <v>2.4799999999999999E-2</v>
      </c>
      <c r="AO41" s="35">
        <f t="shared" si="7"/>
        <v>0.28240000000000004</v>
      </c>
      <c r="AP41" s="35">
        <f t="shared" si="7"/>
        <v>0.47119999999999995</v>
      </c>
      <c r="AQ41" s="35">
        <f t="shared" si="7"/>
        <v>0.4032</v>
      </c>
      <c r="AR41" s="35">
        <f t="shared" si="7"/>
        <v>0.26480000000000004</v>
      </c>
      <c r="AS41" s="35">
        <f t="shared" si="7"/>
        <v>0.12559999999999999</v>
      </c>
      <c r="AT41" s="35">
        <f t="shared" si="7"/>
        <v>0.29759999999999998</v>
      </c>
      <c r="AU41" s="35">
        <f t="shared" si="7"/>
        <v>0.23079999999999998</v>
      </c>
      <c r="AV41" s="35">
        <f t="shared" si="7"/>
        <v>0.3412</v>
      </c>
      <c r="AW41" s="35">
        <f t="shared" si="7"/>
        <v>0.33360000000000001</v>
      </c>
      <c r="AX41" s="35">
        <f t="shared" si="7"/>
        <v>4.9200000000000001E-2</v>
      </c>
      <c r="AY41" s="35">
        <f t="shared" si="7"/>
        <v>0.67319999999999991</v>
      </c>
      <c r="AZ41" s="35">
        <f t="shared" si="7"/>
        <v>0.50039999999999996</v>
      </c>
      <c r="BA41" s="35">
        <f t="shared" si="7"/>
        <v>0.18959999999999999</v>
      </c>
      <c r="BB41" s="35">
        <f t="shared" si="7"/>
        <v>0.22519999999999998</v>
      </c>
      <c r="BC41" s="35">
        <f t="shared" si="7"/>
        <v>0.40440000000000004</v>
      </c>
      <c r="BD41" s="35">
        <f t="shared" si="7"/>
        <v>151.334</v>
      </c>
      <c r="BE41" s="35">
        <f t="shared" si="7"/>
        <v>10.7163</v>
      </c>
    </row>
    <row r="42" spans="1:59" ht="15.6">
      <c r="F42" s="56">
        <v>13.52</v>
      </c>
      <c r="G42" s="63">
        <v>19.05</v>
      </c>
      <c r="H42">
        <v>12.59</v>
      </c>
      <c r="I42">
        <v>67.319999999999993</v>
      </c>
      <c r="J42">
        <v>220.83</v>
      </c>
      <c r="K42" s="63">
        <v>2.2799999999999998</v>
      </c>
      <c r="L42">
        <v>3.36</v>
      </c>
      <c r="M42">
        <v>1</v>
      </c>
      <c r="N42" s="56">
        <v>21.9</v>
      </c>
      <c r="O42" s="56">
        <v>99.03</v>
      </c>
      <c r="P42" s="56">
        <v>234.2</v>
      </c>
      <c r="Q42" s="56">
        <v>1300.3</v>
      </c>
      <c r="R42" s="63">
        <v>0.6</v>
      </c>
      <c r="S42" s="63">
        <v>0.17</v>
      </c>
      <c r="T42" s="63">
        <v>7.0000000000000007E-2</v>
      </c>
      <c r="U42" s="63">
        <v>13.33</v>
      </c>
      <c r="V42" s="63">
        <v>67</v>
      </c>
      <c r="W42" s="63">
        <v>3.47</v>
      </c>
      <c r="X42" s="63">
        <v>34.799999999999997</v>
      </c>
      <c r="Y42" s="63">
        <v>11.2</v>
      </c>
      <c r="Z42" s="63">
        <v>552.79999999999995</v>
      </c>
      <c r="AA42" s="63">
        <v>2.98</v>
      </c>
      <c r="AB42" s="63">
        <v>0.09</v>
      </c>
      <c r="AC42" s="63">
        <v>0.23</v>
      </c>
      <c r="AD42" s="56">
        <v>0.75</v>
      </c>
      <c r="AE42" s="63">
        <v>0.76</v>
      </c>
      <c r="AF42" s="63">
        <v>0.19</v>
      </c>
      <c r="AG42" s="56">
        <v>0.5</v>
      </c>
      <c r="AH42" s="56">
        <v>135.87</v>
      </c>
      <c r="AI42" s="56">
        <v>2.14</v>
      </c>
      <c r="AJ42" s="56">
        <v>25.8</v>
      </c>
      <c r="AK42" s="56">
        <v>23.8</v>
      </c>
      <c r="AL42" s="56">
        <v>0.1</v>
      </c>
      <c r="AM42" s="56">
        <v>7.0000000000000007E-2</v>
      </c>
      <c r="AN42" s="63">
        <v>0.02</v>
      </c>
      <c r="AO42" s="63">
        <v>0.28000000000000003</v>
      </c>
      <c r="AP42" s="63">
        <v>0.47</v>
      </c>
      <c r="AQ42" s="63">
        <v>0.4</v>
      </c>
      <c r="AR42" s="63">
        <v>0.26</v>
      </c>
      <c r="AS42" s="63">
        <v>0.13</v>
      </c>
      <c r="AT42" s="63">
        <v>0.3</v>
      </c>
      <c r="AU42" s="63">
        <v>0.23</v>
      </c>
      <c r="AV42" s="63">
        <v>0.37</v>
      </c>
      <c r="AW42" s="63">
        <v>0.33</v>
      </c>
      <c r="AX42" s="63">
        <v>0.05</v>
      </c>
      <c r="AY42" s="63">
        <v>0.67</v>
      </c>
      <c r="AZ42" s="63">
        <v>0.5</v>
      </c>
      <c r="BA42" s="63">
        <v>0.19</v>
      </c>
      <c r="BB42" s="56">
        <v>0.23</v>
      </c>
      <c r="BC42" s="56">
        <v>0.4</v>
      </c>
      <c r="BD42" s="56">
        <v>151.33000000000001</v>
      </c>
      <c r="BE42" s="56">
        <v>10.72</v>
      </c>
    </row>
    <row r="43" spans="1:59" s="44" customFormat="1" ht="15" customHeight="1">
      <c r="A43" s="98">
        <v>2705497</v>
      </c>
      <c r="B43" s="132" t="s">
        <v>362</v>
      </c>
      <c r="C43" s="44" t="s">
        <v>278</v>
      </c>
      <c r="D43" s="50" t="s">
        <v>280</v>
      </c>
      <c r="E43" s="60" t="s">
        <v>221</v>
      </c>
      <c r="F43" s="110"/>
      <c r="G43" s="62">
        <v>3.16</v>
      </c>
      <c r="H43" s="62">
        <v>1.8</v>
      </c>
      <c r="I43" s="46">
        <v>10.7</v>
      </c>
      <c r="J43" s="62">
        <v>0</v>
      </c>
      <c r="K43" s="46">
        <v>71</v>
      </c>
      <c r="L43" s="62">
        <v>10.46</v>
      </c>
      <c r="M43" s="62">
        <v>0</v>
      </c>
      <c r="N43" s="46">
        <v>0.03</v>
      </c>
      <c r="O43" s="46">
        <v>11</v>
      </c>
      <c r="P43" s="46">
        <v>97</v>
      </c>
      <c r="Q43" s="46">
        <v>150</v>
      </c>
      <c r="R43" s="46">
        <v>39</v>
      </c>
      <c r="S43" s="46">
        <v>0.4</v>
      </c>
      <c r="T43" s="46">
        <v>1E-3</v>
      </c>
      <c r="U43" s="46">
        <v>0</v>
      </c>
      <c r="V43" s="46">
        <v>1.7</v>
      </c>
      <c r="W43" s="46">
        <v>78</v>
      </c>
      <c r="X43" s="46">
        <v>0.03</v>
      </c>
      <c r="Y43" s="46">
        <v>0</v>
      </c>
      <c r="Z43" s="46">
        <v>0</v>
      </c>
      <c r="AA43" s="46">
        <v>0</v>
      </c>
      <c r="AB43" s="46">
        <v>0.2</v>
      </c>
      <c r="AC43" s="46">
        <v>5.6000000000000001E-2</v>
      </c>
      <c r="AD43" s="46">
        <v>0.13500000000000001</v>
      </c>
      <c r="AE43" s="46">
        <v>0.11</v>
      </c>
      <c r="AF43" s="46">
        <v>0</v>
      </c>
      <c r="AG43" s="46">
        <v>5.7000000000000002E-2</v>
      </c>
      <c r="AH43" s="46">
        <v>0.52</v>
      </c>
      <c r="AI43" s="62">
        <v>17.100000000000001</v>
      </c>
      <c r="AJ43" s="46">
        <v>0.2</v>
      </c>
      <c r="AK43" s="46">
        <v>2</v>
      </c>
      <c r="AL43" s="62">
        <v>2</v>
      </c>
      <c r="AM43" s="62">
        <v>0</v>
      </c>
      <c r="AN43" s="46">
        <v>0</v>
      </c>
      <c r="AO43" s="46">
        <v>0</v>
      </c>
      <c r="AP43" s="46">
        <v>0</v>
      </c>
      <c r="AQ43" s="46">
        <v>0</v>
      </c>
      <c r="AR43" s="46">
        <v>0</v>
      </c>
      <c r="AS43" s="46">
        <v>0</v>
      </c>
      <c r="AT43" s="46">
        <v>0</v>
      </c>
      <c r="AU43" s="46">
        <v>0</v>
      </c>
      <c r="AV43" s="46">
        <v>0</v>
      </c>
      <c r="AW43" s="46">
        <v>0</v>
      </c>
      <c r="AX43" s="46">
        <v>0</v>
      </c>
      <c r="AY43" s="46">
        <v>0</v>
      </c>
      <c r="AZ43" s="46">
        <v>0</v>
      </c>
      <c r="BA43" s="46">
        <v>0</v>
      </c>
      <c r="BB43" s="46">
        <v>0</v>
      </c>
      <c r="BC43" s="46">
        <v>0</v>
      </c>
      <c r="BD43" s="46">
        <v>0</v>
      </c>
      <c r="BE43" s="46">
        <v>8</v>
      </c>
      <c r="BF43" s="46">
        <v>0.375</v>
      </c>
      <c r="BG43" s="44" t="str">
        <f t="shared" ref="BG43" si="8">"new food('"&amp;B43&amp;"','"&amp;C43&amp;"','"&amp;D43&amp;"','"&amp;E43&amp;"','"&amp;F43&amp;"','"&amp;G43&amp;"','"&amp;H43&amp;"','"&amp;I43&amp;"','"&amp;J43&amp;"','"&amp;K43&amp;"','"&amp;L43&amp;"','"&amp;M43&amp;"','"&amp;N43&amp;"','"&amp;O43&amp;"','"&amp;P43&amp;"','"&amp;Q43&amp;"','"&amp;R43&amp;"','"&amp;S43&amp;"','"&amp;T43&amp;"','"&amp;U43&amp;"','"&amp;V43&amp;"','"&amp;W43&amp;"','"&amp;X43&amp;"','"&amp;Y43&amp;"','"&amp;Z43&amp;"','"&amp;AA43&amp;"','"&amp;AB43&amp;"','"&amp;AC43&amp;"','"&amp;AD43&amp;"','"&amp;AE43&amp;"','"&amp;AF43&amp;"','"&amp;AG43&amp;"','"&amp;AH43&amp;"','"&amp;AI43&amp;"','"&amp;AJ43&amp;"','"&amp;AK43&amp;"','"&amp;AL43&amp;"','"&amp;AM43&amp;"','"&amp;AN43&amp;"','"&amp;AO43&amp;"','"&amp;AP43&amp;"','"&amp;AQ43&amp;"','"&amp;AR43&amp;"','"&amp;AS43&amp;"','"&amp;AT43&amp;"','"&amp;AU43&amp;"','"&amp;AV43&amp;"','"&amp;AW43&amp;"','"&amp;AX43&amp;"','"&amp;AY43&amp;"','"&amp;AZ43&amp;"','"&amp;BA43&amp;"','"&amp;BB43&amp;"','"&amp;BC43&amp;"','"&amp;BD43&amp;"','"&amp;BE43&amp;"','"&amp;BF43&amp;"'),"</f>
        <v>new food('n','Milk 2percent','Bev','1 cup','','3.16','1.8','10.7','0','71','10.46','0','0.03','11','97','150','39','0.4','0.001','0','1.7','78','0.03','0','0','0','0.2','0.056','0.135','0.11','0','0.057','0.52','17.1','0.2','2','2','0','0','0','0','0','0','0','0','0','0','0','0','0','0','0','0','0','0','8','0.375'),</v>
      </c>
    </row>
    <row r="46" spans="1:59">
      <c r="O46">
        <v>305</v>
      </c>
      <c r="P46">
        <v>4</v>
      </c>
    </row>
    <row r="47" spans="1:59">
      <c r="O47">
        <v>613</v>
      </c>
      <c r="P47">
        <v>1.6910000000000001</v>
      </c>
    </row>
    <row r="48" spans="1:59">
      <c r="O48">
        <v>645</v>
      </c>
      <c r="P48">
        <v>11.314</v>
      </c>
    </row>
    <row r="49" spans="15:16">
      <c r="O49">
        <v>432</v>
      </c>
      <c r="P49">
        <v>3</v>
      </c>
    </row>
    <row r="50" spans="15:16">
      <c r="O50">
        <v>601</v>
      </c>
      <c r="P50">
        <v>0</v>
      </c>
    </row>
    <row r="51" spans="15:16">
      <c r="O51">
        <v>203</v>
      </c>
      <c r="P51">
        <v>1.03</v>
      </c>
    </row>
    <row r="52" spans="15:16">
      <c r="O52">
        <v>609</v>
      </c>
      <c r="P52">
        <v>0</v>
      </c>
    </row>
    <row r="53" spans="15:16">
      <c r="O53">
        <v>614</v>
      </c>
      <c r="P53">
        <v>0.33800000000000002</v>
      </c>
    </row>
    <row r="54" spans="15:16">
      <c r="O54">
        <v>620</v>
      </c>
      <c r="P54">
        <v>0</v>
      </c>
    </row>
    <row r="55" spans="15:16">
      <c r="O55">
        <v>578</v>
      </c>
      <c r="P55">
        <v>0</v>
      </c>
    </row>
    <row r="56" spans="15:16">
      <c r="O56">
        <v>321</v>
      </c>
      <c r="P56">
        <v>231</v>
      </c>
    </row>
    <row r="57" spans="15:16">
      <c r="O57">
        <v>204</v>
      </c>
      <c r="P57">
        <v>15.32</v>
      </c>
    </row>
    <row r="58" spans="15:16">
      <c r="O58">
        <v>573</v>
      </c>
      <c r="P58">
        <v>0</v>
      </c>
    </row>
    <row r="59" spans="15:16">
      <c r="O59">
        <v>312</v>
      </c>
      <c r="P59">
        <v>0.12</v>
      </c>
    </row>
    <row r="60" spans="15:16">
      <c r="O60">
        <v>307</v>
      </c>
      <c r="P60">
        <v>1556</v>
      </c>
    </row>
    <row r="61" spans="15:16">
      <c r="O61">
        <v>205</v>
      </c>
      <c r="P61">
        <v>3.84</v>
      </c>
    </row>
    <row r="62" spans="15:16">
      <c r="O62">
        <v>401</v>
      </c>
      <c r="P62">
        <v>0</v>
      </c>
    </row>
    <row r="63" spans="15:16">
      <c r="O63">
        <v>617</v>
      </c>
      <c r="P63">
        <v>11.144</v>
      </c>
    </row>
    <row r="64" spans="15:16">
      <c r="O64">
        <v>421</v>
      </c>
      <c r="P64">
        <v>14.2</v>
      </c>
    </row>
    <row r="65" spans="15:16">
      <c r="O65">
        <v>612</v>
      </c>
      <c r="P65">
        <v>0</v>
      </c>
    </row>
    <row r="66" spans="15:16">
      <c r="O66">
        <v>646</v>
      </c>
      <c r="P66">
        <v>1.3069999999999999</v>
      </c>
    </row>
    <row r="67" spans="15:16">
      <c r="O67">
        <v>337</v>
      </c>
      <c r="P67">
        <v>0</v>
      </c>
    </row>
    <row r="68" spans="15:16">
      <c r="O68">
        <v>208</v>
      </c>
      <c r="P68">
        <v>145</v>
      </c>
    </row>
    <row r="69" spans="15:16">
      <c r="O69">
        <v>304</v>
      </c>
      <c r="P69">
        <v>11</v>
      </c>
    </row>
    <row r="70" spans="15:16">
      <c r="O70">
        <v>269</v>
      </c>
      <c r="P70">
        <v>0.54</v>
      </c>
    </row>
    <row r="71" spans="15:16">
      <c r="O71">
        <v>619</v>
      </c>
      <c r="P71">
        <v>9.1999999999999998E-2</v>
      </c>
    </row>
    <row r="72" spans="15:16">
      <c r="O72">
        <v>606</v>
      </c>
      <c r="P72">
        <v>2.0289999999999999</v>
      </c>
    </row>
    <row r="73" spans="15:16">
      <c r="O73">
        <v>306</v>
      </c>
      <c r="P73">
        <v>42</v>
      </c>
    </row>
    <row r="74" spans="15:16">
      <c r="O74">
        <v>630</v>
      </c>
      <c r="P74">
        <v>0</v>
      </c>
    </row>
    <row r="75" spans="15:16">
      <c r="O75">
        <v>405</v>
      </c>
      <c r="P75">
        <v>7.0000000000000001E-3</v>
      </c>
    </row>
    <row r="76" spans="15:16">
      <c r="O76">
        <v>404</v>
      </c>
      <c r="P76">
        <v>2.1000000000000001E-2</v>
      </c>
    </row>
    <row r="77" spans="15:16">
      <c r="O77">
        <v>610</v>
      </c>
      <c r="P77">
        <v>0</v>
      </c>
    </row>
    <row r="78" spans="15:16">
      <c r="O78">
        <v>255</v>
      </c>
      <c r="P78">
        <v>75.28</v>
      </c>
    </row>
    <row r="79" spans="15:16">
      <c r="O79">
        <v>628</v>
      </c>
      <c r="P79">
        <v>4.5999999999999999E-2</v>
      </c>
    </row>
    <row r="80" spans="15:16">
      <c r="O80">
        <v>629</v>
      </c>
      <c r="P80">
        <v>0</v>
      </c>
    </row>
    <row r="81" spans="15:16">
      <c r="O81">
        <v>328</v>
      </c>
      <c r="P81">
        <v>0</v>
      </c>
    </row>
    <row r="82" spans="15:16">
      <c r="O82">
        <v>631</v>
      </c>
      <c r="P82">
        <v>0</v>
      </c>
    </row>
    <row r="83" spans="15:16">
      <c r="O83">
        <v>319</v>
      </c>
      <c r="P83">
        <v>0</v>
      </c>
    </row>
    <row r="84" spans="15:16">
      <c r="O84">
        <v>435</v>
      </c>
      <c r="P84">
        <v>3</v>
      </c>
    </row>
    <row r="85" spans="15:16">
      <c r="O85">
        <v>338</v>
      </c>
      <c r="P85">
        <v>510</v>
      </c>
    </row>
    <row r="86" spans="15:16">
      <c r="O86">
        <v>406</v>
      </c>
      <c r="P86">
        <v>0.23699999999999999</v>
      </c>
    </row>
    <row r="87" spans="15:16">
      <c r="O87">
        <v>415</v>
      </c>
      <c r="P87">
        <v>3.1E-2</v>
      </c>
    </row>
    <row r="88" spans="15:16">
      <c r="O88">
        <v>322</v>
      </c>
      <c r="P88">
        <v>0</v>
      </c>
    </row>
    <row r="89" spans="15:16">
      <c r="O89">
        <v>323</v>
      </c>
      <c r="P89">
        <v>3.81</v>
      </c>
    </row>
    <row r="90" spans="15:16">
      <c r="O90">
        <v>291</v>
      </c>
      <c r="P90">
        <v>3.3</v>
      </c>
    </row>
    <row r="91" spans="15:16">
      <c r="O91">
        <v>607</v>
      </c>
      <c r="P91">
        <v>0</v>
      </c>
    </row>
    <row r="92" spans="15:16">
      <c r="O92">
        <v>418</v>
      </c>
      <c r="P92">
        <v>0</v>
      </c>
    </row>
    <row r="93" spans="15:16">
      <c r="O93">
        <v>303</v>
      </c>
      <c r="P93">
        <v>0.49</v>
      </c>
    </row>
    <row r="94" spans="15:16">
      <c r="O94">
        <v>430</v>
      </c>
      <c r="P94">
        <v>1.4</v>
      </c>
    </row>
    <row r="95" spans="15:16">
      <c r="O95">
        <v>301</v>
      </c>
      <c r="P95">
        <v>52</v>
      </c>
    </row>
    <row r="96" spans="15:16">
      <c r="O96">
        <v>262</v>
      </c>
      <c r="P96">
        <v>0</v>
      </c>
    </row>
    <row r="97" spans="15:16">
      <c r="O97">
        <v>431</v>
      </c>
      <c r="P97">
        <v>0</v>
      </c>
    </row>
    <row r="98" spans="15:16">
      <c r="O98">
        <v>417</v>
      </c>
      <c r="P98">
        <v>3</v>
      </c>
    </row>
    <row r="99" spans="15:16">
      <c r="O99">
        <v>611</v>
      </c>
      <c r="P99">
        <v>0</v>
      </c>
    </row>
    <row r="100" spans="15:16">
      <c r="O100">
        <v>221</v>
      </c>
      <c r="P100">
        <v>0</v>
      </c>
    </row>
    <row r="101" spans="15:16">
      <c r="O101">
        <v>626</v>
      </c>
      <c r="P101">
        <v>0.123</v>
      </c>
    </row>
    <row r="102" spans="15:16">
      <c r="O102">
        <v>618</v>
      </c>
      <c r="P102">
        <v>1.2150000000000001</v>
      </c>
    </row>
    <row r="103" spans="15:16">
      <c r="O103">
        <v>317</v>
      </c>
      <c r="P103">
        <v>0.9</v>
      </c>
    </row>
    <row r="104" spans="15:16">
      <c r="O104">
        <v>627</v>
      </c>
      <c r="P104">
        <v>0</v>
      </c>
    </row>
    <row r="105" spans="15:16">
      <c r="O105">
        <v>334</v>
      </c>
      <c r="P105">
        <v>9</v>
      </c>
    </row>
    <row r="106" spans="15:16">
      <c r="O106">
        <v>608</v>
      </c>
      <c r="P106">
        <v>0</v>
      </c>
    </row>
    <row r="107" spans="15:16">
      <c r="O107">
        <v>309</v>
      </c>
      <c r="P107">
        <v>0.04</v>
      </c>
    </row>
    <row r="108" spans="15:16">
      <c r="O108">
        <v>263</v>
      </c>
      <c r="P108">
        <v>0</v>
      </c>
    </row>
    <row r="109" spans="15:16">
      <c r="O109">
        <v>621</v>
      </c>
      <c r="P109">
        <v>0</v>
      </c>
    </row>
    <row r="110" spans="15:16">
      <c r="O110">
        <v>320</v>
      </c>
      <c r="P110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V34"/>
  <sheetViews>
    <sheetView workbookViewId="0">
      <selection activeCell="C8" sqref="C8"/>
    </sheetView>
  </sheetViews>
  <sheetFormatPr defaultRowHeight="12.6"/>
  <cols>
    <col min="2" max="2" width="10.5546875" customWidth="1"/>
    <col min="6" max="10" width="10.44140625" bestFit="1" customWidth="1"/>
    <col min="12" max="12" width="10.44140625" bestFit="1" customWidth="1"/>
    <col min="13" max="14" width="11.44140625" bestFit="1" customWidth="1"/>
    <col min="15" max="15" width="12.44140625" bestFit="1" customWidth="1"/>
    <col min="16" max="17" width="11.44140625" bestFit="1" customWidth="1"/>
    <col min="18" max="20" width="10.44140625" bestFit="1" customWidth="1"/>
    <col min="21" max="22" width="12.44140625" bestFit="1" customWidth="1"/>
    <col min="23" max="24" width="10.44140625" bestFit="1" customWidth="1"/>
    <col min="25" max="25" width="11.44140625" bestFit="1" customWidth="1"/>
    <col min="26" max="35" width="10.44140625" bestFit="1" customWidth="1"/>
    <col min="36" max="36" width="11.44140625" bestFit="1" customWidth="1"/>
    <col min="37" max="37" width="13.5546875" bestFit="1" customWidth="1"/>
    <col min="38" max="38" width="10.44140625" bestFit="1" customWidth="1"/>
    <col min="39" max="39" width="11.44140625" bestFit="1" customWidth="1"/>
    <col min="40" max="45" width="10.44140625" bestFit="1" customWidth="1"/>
    <col min="46" max="47" width="12.44140625" bestFit="1" customWidth="1"/>
    <col min="48" max="48" width="10.44140625" bestFit="1" customWidth="1"/>
    <col min="49" max="49" width="11.44140625" bestFit="1" customWidth="1"/>
    <col min="50" max="53" width="10.44140625" bestFit="1" customWidth="1"/>
    <col min="54" max="54" width="12.44140625" bestFit="1" customWidth="1"/>
    <col min="55" max="64" width="10.44140625" bestFit="1" customWidth="1"/>
    <col min="65" max="65" width="12.44140625" bestFit="1" customWidth="1"/>
    <col min="66" max="66" width="11.44140625" bestFit="1" customWidth="1"/>
    <col min="67" max="72" width="10.44140625" bestFit="1" customWidth="1"/>
    <col min="73" max="73" width="11.44140625" bestFit="1" customWidth="1"/>
  </cols>
  <sheetData>
    <row r="1" spans="1:74" s="1" customFormat="1" ht="37.799999999999997">
      <c r="A1"/>
      <c r="B1"/>
      <c r="C1" s="154" t="s">
        <v>86</v>
      </c>
      <c r="D1"/>
      <c r="E1"/>
      <c r="F1" s="1" t="s">
        <v>57</v>
      </c>
      <c r="G1" s="1" t="s">
        <v>67</v>
      </c>
      <c r="H1" s="1" t="s">
        <v>10</v>
      </c>
      <c r="I1" s="1" t="s">
        <v>54</v>
      </c>
      <c r="J1" s="1" t="s">
        <v>71</v>
      </c>
      <c r="K1" s="1" t="s">
        <v>203</v>
      </c>
      <c r="L1" s="1" t="s">
        <v>47</v>
      </c>
      <c r="M1" s="1" t="s">
        <v>38</v>
      </c>
      <c r="N1" s="1" t="s">
        <v>2</v>
      </c>
      <c r="O1" s="1" t="s">
        <v>15</v>
      </c>
      <c r="P1" s="1" t="s">
        <v>69</v>
      </c>
      <c r="Q1" s="1" t="s">
        <v>28</v>
      </c>
      <c r="R1" s="1" t="s">
        <v>14</v>
      </c>
      <c r="S1" s="1" t="s">
        <v>17</v>
      </c>
      <c r="T1" s="1" t="s">
        <v>51</v>
      </c>
      <c r="U1" s="1" t="s">
        <v>72</v>
      </c>
      <c r="V1" s="1" t="s">
        <v>73</v>
      </c>
      <c r="W1" s="1" t="s">
        <v>4</v>
      </c>
      <c r="X1" s="1" t="s">
        <v>21</v>
      </c>
      <c r="Y1" s="2" t="s">
        <v>22</v>
      </c>
      <c r="Z1" s="1" t="s">
        <v>45</v>
      </c>
      <c r="AA1" s="1" t="s">
        <v>49</v>
      </c>
      <c r="AB1" s="1" t="s">
        <v>35</v>
      </c>
      <c r="AC1" s="1" t="s">
        <v>37</v>
      </c>
      <c r="AD1" s="1" t="s">
        <v>65</v>
      </c>
      <c r="AE1" s="1" t="s">
        <v>42</v>
      </c>
      <c r="AF1" s="1" t="s">
        <v>75</v>
      </c>
      <c r="AG1" s="1" t="s">
        <v>24</v>
      </c>
      <c r="AH1" s="1" t="s">
        <v>68</v>
      </c>
      <c r="AI1" s="1" t="s">
        <v>12</v>
      </c>
      <c r="AJ1" s="1" t="s">
        <v>60</v>
      </c>
      <c r="AK1" s="1" t="s">
        <v>53</v>
      </c>
      <c r="AL1" s="1" t="s">
        <v>62</v>
      </c>
      <c r="AM1" s="1" t="s">
        <v>20</v>
      </c>
      <c r="AN1" s="1" t="s">
        <v>30</v>
      </c>
      <c r="AO1" s="1" t="s">
        <v>59</v>
      </c>
      <c r="AP1" s="1" t="s">
        <v>61</v>
      </c>
      <c r="AQ1" s="1" t="s">
        <v>18</v>
      </c>
      <c r="AR1" s="1" t="s">
        <v>46</v>
      </c>
      <c r="AS1" s="1" t="s">
        <v>8</v>
      </c>
      <c r="AT1" s="1" t="s">
        <v>29</v>
      </c>
      <c r="AU1" s="1" t="s">
        <v>36</v>
      </c>
      <c r="AV1" s="1" t="s">
        <v>27</v>
      </c>
      <c r="AW1" s="1" t="s">
        <v>11</v>
      </c>
      <c r="AX1" s="1" t="s">
        <v>39</v>
      </c>
      <c r="AY1" s="1" t="s">
        <v>44</v>
      </c>
      <c r="AZ1" s="1" t="s">
        <v>52</v>
      </c>
      <c r="BA1" s="1" t="s">
        <v>50</v>
      </c>
      <c r="BB1" s="1" t="s">
        <v>13</v>
      </c>
      <c r="BC1" s="1" t="s">
        <v>9</v>
      </c>
      <c r="BD1" s="1" t="s">
        <v>25</v>
      </c>
      <c r="BE1" s="1" t="s">
        <v>7</v>
      </c>
      <c r="BF1" s="1" t="s">
        <v>23</v>
      </c>
      <c r="BG1" s="1" t="s">
        <v>55</v>
      </c>
      <c r="BH1" s="1" t="s">
        <v>48</v>
      </c>
      <c r="BI1" s="1" t="s">
        <v>56</v>
      </c>
      <c r="BJ1" s="1" t="s">
        <v>43</v>
      </c>
      <c r="BK1" s="1" t="s">
        <v>64</v>
      </c>
      <c r="BL1" s="1" t="s">
        <v>26</v>
      </c>
      <c r="BM1" s="1" t="s">
        <v>66</v>
      </c>
      <c r="BN1" s="1" t="s">
        <v>63</v>
      </c>
      <c r="BO1" s="1" t="s">
        <v>34</v>
      </c>
      <c r="BP1" s="1" t="s">
        <v>58</v>
      </c>
      <c r="BQ1" s="1" t="s">
        <v>5</v>
      </c>
      <c r="BR1" s="1" t="s">
        <v>31</v>
      </c>
      <c r="BS1" s="1" t="s">
        <v>41</v>
      </c>
      <c r="BT1" s="1" t="s">
        <v>16</v>
      </c>
      <c r="BU1" s="1" t="s">
        <v>40</v>
      </c>
      <c r="BV1" s="1" t="s">
        <v>33</v>
      </c>
    </row>
    <row r="2" spans="1:74" s="36" customFormat="1" ht="25.2">
      <c r="A2"/>
      <c r="B2"/>
      <c r="C2" s="154"/>
      <c r="D2"/>
      <c r="E2"/>
      <c r="F2" s="36" t="s">
        <v>127</v>
      </c>
      <c r="G2" s="36" t="s">
        <v>135</v>
      </c>
      <c r="H2" s="36" t="s">
        <v>128</v>
      </c>
      <c r="I2" s="36" t="s">
        <v>129</v>
      </c>
      <c r="J2" s="36" t="s">
        <v>130</v>
      </c>
      <c r="L2" s="36" t="s">
        <v>131</v>
      </c>
      <c r="M2" s="36" t="s">
        <v>125</v>
      </c>
      <c r="N2" s="36" t="s">
        <v>132</v>
      </c>
      <c r="O2" s="36" t="s">
        <v>133</v>
      </c>
      <c r="P2" s="36" t="s">
        <v>134</v>
      </c>
      <c r="Q2" s="36" t="s">
        <v>136</v>
      </c>
      <c r="R2" s="36" t="s">
        <v>137</v>
      </c>
      <c r="S2" s="36" t="s">
        <v>138</v>
      </c>
      <c r="T2" s="36" t="s">
        <v>139</v>
      </c>
      <c r="U2" s="36" t="s">
        <v>140</v>
      </c>
      <c r="V2" s="36" t="s">
        <v>141</v>
      </c>
      <c r="W2" s="36" t="s">
        <v>142</v>
      </c>
      <c r="X2" s="36" t="s">
        <v>126</v>
      </c>
      <c r="Y2" s="36" t="s">
        <v>143</v>
      </c>
      <c r="Z2" s="36" t="s">
        <v>144</v>
      </c>
      <c r="AA2" s="36" t="s">
        <v>145</v>
      </c>
      <c r="AB2" s="36" t="s">
        <v>146</v>
      </c>
      <c r="AC2" s="36" t="s">
        <v>147</v>
      </c>
      <c r="AD2" s="36" t="s">
        <v>148</v>
      </c>
      <c r="AE2" s="36" t="s">
        <v>149</v>
      </c>
      <c r="AF2" s="36" t="s">
        <v>135</v>
      </c>
      <c r="AG2" s="36" t="s">
        <v>150</v>
      </c>
      <c r="AH2" s="36" t="s">
        <v>151</v>
      </c>
      <c r="AI2" s="36" t="s">
        <v>152</v>
      </c>
      <c r="AJ2" s="36" t="s">
        <v>153</v>
      </c>
      <c r="AK2" s="36" t="s">
        <v>154</v>
      </c>
      <c r="AL2" s="36" t="s">
        <v>155</v>
      </c>
      <c r="AM2" s="36" t="s">
        <v>156</v>
      </c>
      <c r="AN2" s="36" t="s">
        <v>157</v>
      </c>
      <c r="AO2" s="36" t="s">
        <v>158</v>
      </c>
      <c r="AP2" s="36" t="s">
        <v>159</v>
      </c>
      <c r="AQ2" s="36" t="s">
        <v>160</v>
      </c>
      <c r="AR2" s="36" t="s">
        <v>161</v>
      </c>
      <c r="AS2" s="36" t="s">
        <v>162</v>
      </c>
      <c r="AT2" s="36" t="s">
        <v>163</v>
      </c>
      <c r="AU2" s="36" t="s">
        <v>164</v>
      </c>
      <c r="AV2" s="36" t="s">
        <v>165</v>
      </c>
      <c r="AW2" s="36" t="s">
        <v>123</v>
      </c>
      <c r="AX2" s="36" t="s">
        <v>166</v>
      </c>
      <c r="AY2" s="36" t="s">
        <v>167</v>
      </c>
      <c r="AZ2" s="36" t="s">
        <v>168</v>
      </c>
      <c r="BA2" s="36" t="s">
        <v>169</v>
      </c>
      <c r="BB2" s="36" t="s">
        <v>170</v>
      </c>
      <c r="BC2" s="36" t="s">
        <v>171</v>
      </c>
      <c r="BD2" s="36" t="s">
        <v>172</v>
      </c>
      <c r="BE2" s="36" t="s">
        <v>173</v>
      </c>
      <c r="BF2" s="36" t="s">
        <v>174</v>
      </c>
      <c r="BG2" s="36" t="s">
        <v>175</v>
      </c>
      <c r="BH2" s="36" t="s">
        <v>176</v>
      </c>
      <c r="BI2" s="36" t="s">
        <v>124</v>
      </c>
      <c r="BJ2" s="36" t="s">
        <v>177</v>
      </c>
      <c r="BK2" s="36" t="s">
        <v>178</v>
      </c>
      <c r="BL2" s="36" t="s">
        <v>179</v>
      </c>
      <c r="BM2" s="36" t="s">
        <v>180</v>
      </c>
      <c r="BN2" s="36" t="s">
        <v>181</v>
      </c>
      <c r="BO2" s="36" t="s">
        <v>182</v>
      </c>
      <c r="BP2" s="36" t="s">
        <v>183</v>
      </c>
      <c r="BQ2" s="36" t="s">
        <v>184</v>
      </c>
      <c r="BR2" s="36" t="s">
        <v>185</v>
      </c>
      <c r="BS2" s="36" t="s">
        <v>186</v>
      </c>
      <c r="BT2" s="36" t="s">
        <v>187</v>
      </c>
      <c r="BU2" s="36" t="s">
        <v>188</v>
      </c>
      <c r="BV2" s="36" t="s">
        <v>189</v>
      </c>
    </row>
    <row r="3" spans="1:74">
      <c r="B3" t="s">
        <v>199</v>
      </c>
      <c r="F3">
        <v>0</v>
      </c>
      <c r="G3">
        <v>0</v>
      </c>
      <c r="H3">
        <v>0</v>
      </c>
      <c r="I3">
        <v>0</v>
      </c>
      <c r="J3">
        <v>0</v>
      </c>
      <c r="K3">
        <v>400</v>
      </c>
      <c r="L3">
        <v>1500</v>
      </c>
      <c r="Q3">
        <v>50</v>
      </c>
      <c r="R3">
        <v>2</v>
      </c>
      <c r="T3">
        <v>15</v>
      </c>
      <c r="Y3">
        <v>400</v>
      </c>
      <c r="Z3">
        <v>400</v>
      </c>
      <c r="AE3">
        <v>11</v>
      </c>
      <c r="AG3">
        <v>18</v>
      </c>
      <c r="AH3">
        <v>15</v>
      </c>
      <c r="AI3">
        <v>34</v>
      </c>
      <c r="AJ3">
        <v>90</v>
      </c>
      <c r="AL3">
        <v>31</v>
      </c>
      <c r="AM3">
        <v>750</v>
      </c>
      <c r="AO3">
        <v>3</v>
      </c>
      <c r="AP3">
        <v>15</v>
      </c>
      <c r="AQ3">
        <v>15</v>
      </c>
      <c r="AR3">
        <v>50</v>
      </c>
      <c r="AS3">
        <v>27</v>
      </c>
      <c r="AT3">
        <v>700</v>
      </c>
      <c r="AU3">
        <v>100</v>
      </c>
      <c r="AX3">
        <v>5000</v>
      </c>
      <c r="AY3">
        <v>15</v>
      </c>
      <c r="AZ3">
        <v>100</v>
      </c>
      <c r="BB3">
        <v>1500</v>
      </c>
      <c r="BG3">
        <v>50</v>
      </c>
      <c r="BH3">
        <v>16</v>
      </c>
      <c r="BJ3">
        <v>4</v>
      </c>
      <c r="BK3">
        <v>27</v>
      </c>
      <c r="BL3">
        <v>19</v>
      </c>
      <c r="BM3">
        <v>700</v>
      </c>
      <c r="BO3">
        <v>200</v>
      </c>
      <c r="BP3">
        <v>50</v>
      </c>
      <c r="BQ3">
        <v>110</v>
      </c>
      <c r="BR3">
        <v>400</v>
      </c>
      <c r="BS3">
        <v>400</v>
      </c>
      <c r="BT3">
        <v>400</v>
      </c>
      <c r="BU3">
        <v>100</v>
      </c>
      <c r="BV3">
        <v>30</v>
      </c>
    </row>
    <row r="4" spans="1:74">
      <c r="K4" t="s">
        <v>201</v>
      </c>
      <c r="L4" t="s">
        <v>200</v>
      </c>
      <c r="Q4" t="s">
        <v>200</v>
      </c>
      <c r="R4" t="s">
        <v>200</v>
      </c>
      <c r="T4" s="41" t="s">
        <v>200</v>
      </c>
      <c r="Y4" t="s">
        <v>201</v>
      </c>
      <c r="Z4" t="s">
        <v>201</v>
      </c>
      <c r="AE4" s="41" t="s">
        <v>200</v>
      </c>
      <c r="AG4" t="s">
        <v>200</v>
      </c>
      <c r="AH4" s="41" t="s">
        <v>200</v>
      </c>
      <c r="AI4" s="41" t="s">
        <v>200</v>
      </c>
      <c r="AJ4" t="s">
        <v>201</v>
      </c>
      <c r="AL4" s="41" t="s">
        <v>200</v>
      </c>
      <c r="AM4" t="s">
        <v>200</v>
      </c>
      <c r="AO4" t="s">
        <v>200</v>
      </c>
      <c r="AP4" s="41" t="s">
        <v>200</v>
      </c>
      <c r="AQ4" t="s">
        <v>200</v>
      </c>
      <c r="AR4" t="s">
        <v>200</v>
      </c>
      <c r="AS4" s="41" t="s">
        <v>200</v>
      </c>
      <c r="AT4" t="s">
        <v>200</v>
      </c>
      <c r="AU4" t="s">
        <v>200</v>
      </c>
      <c r="AX4" t="s">
        <v>202</v>
      </c>
      <c r="AY4" t="s">
        <v>200</v>
      </c>
      <c r="AZ4" t="s">
        <v>200</v>
      </c>
      <c r="BB4" t="s">
        <v>200</v>
      </c>
      <c r="BG4" t="s">
        <v>200</v>
      </c>
      <c r="BH4" s="41" t="s">
        <v>200</v>
      </c>
      <c r="BJ4" s="41" t="s">
        <v>200</v>
      </c>
      <c r="BK4" s="41" t="s">
        <v>200</v>
      </c>
      <c r="BL4" s="41" t="s">
        <v>200</v>
      </c>
      <c r="BM4" t="s">
        <v>200</v>
      </c>
      <c r="BO4" t="s">
        <v>201</v>
      </c>
      <c r="BP4" t="s">
        <v>200</v>
      </c>
      <c r="BQ4" t="s">
        <v>200</v>
      </c>
      <c r="BR4" t="s">
        <v>201</v>
      </c>
      <c r="BS4" t="s">
        <v>200</v>
      </c>
      <c r="BT4" t="s">
        <v>202</v>
      </c>
      <c r="BU4" t="s">
        <v>201</v>
      </c>
      <c r="BV4" t="s">
        <v>200</v>
      </c>
    </row>
    <row r="7" spans="1:74" s="51" customFormat="1" ht="30" customHeight="1">
      <c r="A7" s="105" t="s">
        <v>376</v>
      </c>
      <c r="C7" s="50"/>
      <c r="D7" s="50"/>
      <c r="E7" s="98"/>
      <c r="F7" s="51" t="s">
        <v>123</v>
      </c>
      <c r="G7" s="51" t="s">
        <v>124</v>
      </c>
      <c r="H7" s="51" t="s">
        <v>125</v>
      </c>
      <c r="I7" s="51" t="s">
        <v>128</v>
      </c>
      <c r="J7" s="51" t="s">
        <v>141</v>
      </c>
      <c r="K7" s="51" t="s">
        <v>173</v>
      </c>
      <c r="L7" s="51" t="s">
        <v>126</v>
      </c>
      <c r="M7" s="51" t="s">
        <v>150</v>
      </c>
      <c r="N7" s="51" t="s">
        <v>156</v>
      </c>
      <c r="O7" s="51" t="s">
        <v>163</v>
      </c>
      <c r="P7" s="51" t="s">
        <v>164</v>
      </c>
      <c r="Q7" s="51" t="s">
        <v>170</v>
      </c>
      <c r="R7" s="51" t="s">
        <v>189</v>
      </c>
      <c r="S7" s="51" t="s">
        <v>137</v>
      </c>
      <c r="T7" s="51" t="s">
        <v>158</v>
      </c>
      <c r="U7" s="51" t="s">
        <v>168</v>
      </c>
      <c r="V7" s="51" t="s">
        <v>166</v>
      </c>
      <c r="W7" s="51" t="s">
        <v>187</v>
      </c>
      <c r="X7" s="51" t="s">
        <v>185</v>
      </c>
      <c r="Y7" s="51" t="s">
        <v>138</v>
      </c>
      <c r="Z7" s="51" t="s">
        <v>211</v>
      </c>
      <c r="AA7" s="51" t="s">
        <v>184</v>
      </c>
      <c r="AB7" s="51" t="s">
        <v>212</v>
      </c>
      <c r="AC7" s="51" t="s">
        <v>213</v>
      </c>
      <c r="AD7" s="51" t="s">
        <v>160</v>
      </c>
      <c r="AE7" s="51" t="s">
        <v>161</v>
      </c>
      <c r="AF7" s="51" t="s">
        <v>214</v>
      </c>
      <c r="AG7" s="51" t="s">
        <v>215</v>
      </c>
      <c r="AH7" s="51" t="s">
        <v>216</v>
      </c>
      <c r="AI7" s="51" t="s">
        <v>188</v>
      </c>
      <c r="AJ7" s="51" t="s">
        <v>131</v>
      </c>
      <c r="AK7" s="51" t="s">
        <v>143</v>
      </c>
      <c r="AL7" s="51" t="s">
        <v>130</v>
      </c>
      <c r="AM7" s="51" t="s">
        <v>177</v>
      </c>
      <c r="AN7" s="51" t="s">
        <v>176</v>
      </c>
      <c r="AO7" s="51" t="s">
        <v>151</v>
      </c>
      <c r="AP7" s="51" t="s">
        <v>152</v>
      </c>
      <c r="AQ7" s="51" t="s">
        <v>155</v>
      </c>
      <c r="AR7" s="51" t="s">
        <v>217</v>
      </c>
      <c r="AS7" s="51" t="s">
        <v>139</v>
      </c>
      <c r="AT7" s="51" t="s">
        <v>162</v>
      </c>
      <c r="AU7" s="51" t="s">
        <v>178</v>
      </c>
      <c r="AV7" s="51" t="s">
        <v>218</v>
      </c>
      <c r="AW7" s="51" t="s">
        <v>135</v>
      </c>
      <c r="AX7" s="51" t="s">
        <v>127</v>
      </c>
      <c r="AY7" s="51" t="s">
        <v>129</v>
      </c>
      <c r="AZ7" s="51" t="s">
        <v>147</v>
      </c>
      <c r="BA7" s="51" t="s">
        <v>148</v>
      </c>
      <c r="BB7" s="51" t="s">
        <v>165</v>
      </c>
      <c r="BC7" s="51" t="s">
        <v>169</v>
      </c>
      <c r="BD7" s="51" t="s">
        <v>134</v>
      </c>
      <c r="BE7" s="51" t="s">
        <v>142</v>
      </c>
      <c r="BF7" s="44"/>
      <c r="BI7" s="44"/>
      <c r="BJ7" s="44"/>
    </row>
    <row r="9" spans="1:74" ht="14.4">
      <c r="A9">
        <v>172884</v>
      </c>
      <c r="B9" t="s">
        <v>275</v>
      </c>
      <c r="D9" s="8" t="s">
        <v>221</v>
      </c>
      <c r="E9">
        <v>240</v>
      </c>
      <c r="F9" s="32">
        <v>2.52</v>
      </c>
      <c r="G9" s="26">
        <v>1.2</v>
      </c>
      <c r="H9" s="26">
        <v>3.53</v>
      </c>
      <c r="I9" s="26">
        <v>0</v>
      </c>
      <c r="J9" s="26">
        <v>36</v>
      </c>
      <c r="K9" s="26">
        <v>1.58</v>
      </c>
      <c r="L9" s="26">
        <v>0</v>
      </c>
      <c r="M9" s="26">
        <v>0.21</v>
      </c>
      <c r="N9" s="26">
        <v>4</v>
      </c>
      <c r="O9" s="26">
        <v>27</v>
      </c>
      <c r="P9" s="26">
        <v>105</v>
      </c>
      <c r="Q9" s="26">
        <v>143</v>
      </c>
      <c r="R9" s="26">
        <v>0.14000000000000001</v>
      </c>
      <c r="S9" s="26">
        <v>5.3999999999999999E-2</v>
      </c>
      <c r="T9" s="26">
        <v>0</v>
      </c>
      <c r="U9" s="26">
        <v>2.2000000000000002</v>
      </c>
      <c r="V9" s="26">
        <v>1</v>
      </c>
      <c r="W9" s="26">
        <v>0.03</v>
      </c>
      <c r="X9" s="26">
        <v>0</v>
      </c>
      <c r="Y9" s="26">
        <v>0</v>
      </c>
      <c r="Z9" s="26">
        <v>1</v>
      </c>
      <c r="AA9" s="26">
        <v>0.2</v>
      </c>
      <c r="AB9" s="26">
        <v>3.5000000000000003E-2</v>
      </c>
      <c r="AC9" s="26">
        <v>8.5000000000000006E-2</v>
      </c>
      <c r="AD9" s="26">
        <v>1.5840000000000001</v>
      </c>
      <c r="AE9" s="26">
        <v>0</v>
      </c>
      <c r="AF9" s="26">
        <v>6.0999999999999999E-2</v>
      </c>
      <c r="AG9" s="26">
        <v>0</v>
      </c>
      <c r="AH9" s="26">
        <v>9.1999999999999993</v>
      </c>
      <c r="AI9" s="26">
        <v>0.2</v>
      </c>
      <c r="AJ9" s="26">
        <v>5</v>
      </c>
      <c r="AK9" s="26">
        <v>5</v>
      </c>
      <c r="AL9" s="26">
        <v>0</v>
      </c>
      <c r="AM9" s="26">
        <v>0</v>
      </c>
      <c r="AN9" s="26">
        <v>0</v>
      </c>
      <c r="AO9" s="26">
        <v>0</v>
      </c>
      <c r="AP9" s="26">
        <v>0</v>
      </c>
      <c r="AQ9" s="26">
        <v>0</v>
      </c>
      <c r="AR9" s="26">
        <v>0</v>
      </c>
      <c r="AS9" s="26">
        <v>0</v>
      </c>
      <c r="AT9" s="26">
        <v>0</v>
      </c>
      <c r="AU9" s="26">
        <v>0</v>
      </c>
      <c r="AV9" s="26">
        <v>0</v>
      </c>
      <c r="AW9" s="26">
        <v>0</v>
      </c>
      <c r="AX9" s="26">
        <v>0</v>
      </c>
      <c r="AY9" s="26">
        <v>0</v>
      </c>
      <c r="AZ9" s="26">
        <v>0</v>
      </c>
      <c r="BA9" s="26">
        <v>0</v>
      </c>
      <c r="BB9" s="26">
        <v>0</v>
      </c>
      <c r="BC9" s="26">
        <v>0</v>
      </c>
      <c r="BD9" s="26">
        <v>3</v>
      </c>
      <c r="BE9" s="26">
        <v>0.58199999999999996</v>
      </c>
      <c r="BF9" s="26"/>
    </row>
    <row r="10" spans="1:74" ht="14.4">
      <c r="A10">
        <v>172884</v>
      </c>
      <c r="B10" t="s">
        <v>275</v>
      </c>
      <c r="D10" s="8" t="s">
        <v>221</v>
      </c>
      <c r="E10">
        <v>240</v>
      </c>
      <c r="F10" s="32">
        <v>2.52</v>
      </c>
      <c r="G10" s="26">
        <v>1.2</v>
      </c>
      <c r="H10" s="26">
        <v>3.53</v>
      </c>
      <c r="I10" s="26">
        <v>0</v>
      </c>
      <c r="J10" s="26">
        <v>36</v>
      </c>
      <c r="K10" s="26">
        <v>1.58</v>
      </c>
      <c r="L10" s="26">
        <v>0</v>
      </c>
      <c r="M10" s="26">
        <v>0.21</v>
      </c>
      <c r="N10" s="26">
        <v>4</v>
      </c>
      <c r="O10" s="26">
        <v>27</v>
      </c>
      <c r="P10" s="26">
        <v>105</v>
      </c>
      <c r="Q10" s="26">
        <v>143</v>
      </c>
      <c r="R10" s="26">
        <v>0.14000000000000001</v>
      </c>
      <c r="S10" s="26">
        <v>5.3999999999999999E-2</v>
      </c>
      <c r="T10" s="26">
        <v>0</v>
      </c>
      <c r="U10" s="26">
        <v>2.2000000000000002</v>
      </c>
      <c r="V10" s="26">
        <v>1</v>
      </c>
      <c r="W10" s="26">
        <v>0.03</v>
      </c>
      <c r="X10" s="26">
        <v>0</v>
      </c>
      <c r="Y10" s="26">
        <v>0</v>
      </c>
      <c r="Z10" s="26">
        <v>1</v>
      </c>
      <c r="AA10" s="26">
        <v>0.2</v>
      </c>
      <c r="AB10" s="26">
        <v>3.5000000000000003E-2</v>
      </c>
      <c r="AC10" s="26">
        <v>8.5000000000000006E-2</v>
      </c>
      <c r="AD10" s="26">
        <v>1.5840000000000001</v>
      </c>
      <c r="AE10" s="26">
        <v>0</v>
      </c>
      <c r="AF10" s="26">
        <v>6.0999999999999999E-2</v>
      </c>
      <c r="AG10" s="26">
        <v>0</v>
      </c>
      <c r="AH10" s="26">
        <v>9.1999999999999993</v>
      </c>
      <c r="AI10" s="26">
        <v>0.2</v>
      </c>
      <c r="AJ10" s="26">
        <v>5</v>
      </c>
      <c r="AK10" s="26">
        <v>5</v>
      </c>
      <c r="AL10" s="26">
        <v>0</v>
      </c>
      <c r="AM10" s="26">
        <v>0</v>
      </c>
      <c r="AN10" s="26">
        <v>0</v>
      </c>
      <c r="AO10" s="26">
        <v>0</v>
      </c>
      <c r="AP10" s="26">
        <v>0</v>
      </c>
      <c r="AQ10" s="26">
        <v>0</v>
      </c>
      <c r="AR10" s="26">
        <v>0</v>
      </c>
      <c r="AS10" s="26">
        <v>0</v>
      </c>
      <c r="AT10" s="26">
        <v>0</v>
      </c>
      <c r="AU10" s="26">
        <v>0</v>
      </c>
      <c r="AV10" s="26">
        <v>0</v>
      </c>
      <c r="AW10" s="26">
        <v>0</v>
      </c>
      <c r="AX10" s="26">
        <v>0</v>
      </c>
      <c r="AY10" s="26">
        <v>0</v>
      </c>
      <c r="AZ10" s="26">
        <v>0</v>
      </c>
      <c r="BA10" s="26">
        <v>0</v>
      </c>
      <c r="BB10" s="26">
        <v>0</v>
      </c>
      <c r="BC10" s="26">
        <v>0</v>
      </c>
      <c r="BD10" s="26">
        <v>3</v>
      </c>
      <c r="BE10" s="26">
        <v>0.58199999999999996</v>
      </c>
      <c r="BF10" s="26"/>
    </row>
    <row r="11" spans="1:74" ht="14.4">
      <c r="A11">
        <v>172884</v>
      </c>
      <c r="B11" t="s">
        <v>275</v>
      </c>
      <c r="D11" s="8" t="s">
        <v>221</v>
      </c>
      <c r="E11">
        <v>240</v>
      </c>
      <c r="F11" s="32">
        <v>2.52</v>
      </c>
      <c r="G11" s="26">
        <v>1.2</v>
      </c>
      <c r="H11" s="26">
        <v>3.53</v>
      </c>
      <c r="I11" s="26">
        <v>0</v>
      </c>
      <c r="J11" s="26">
        <v>36</v>
      </c>
      <c r="K11" s="26">
        <v>1.58</v>
      </c>
      <c r="L11" s="26">
        <v>0</v>
      </c>
      <c r="M11" s="26">
        <v>0.21</v>
      </c>
      <c r="N11" s="26">
        <v>4</v>
      </c>
      <c r="O11" s="26">
        <v>27</v>
      </c>
      <c r="P11" s="26">
        <v>105</v>
      </c>
      <c r="Q11" s="26">
        <v>143</v>
      </c>
      <c r="R11" s="26">
        <v>0.14000000000000001</v>
      </c>
      <c r="S11" s="26">
        <v>5.3999999999999999E-2</v>
      </c>
      <c r="T11" s="26">
        <v>0</v>
      </c>
      <c r="U11" s="26">
        <v>2.2000000000000002</v>
      </c>
      <c r="V11" s="26">
        <v>1</v>
      </c>
      <c r="W11" s="26">
        <v>0.03</v>
      </c>
      <c r="X11" s="26">
        <v>0</v>
      </c>
      <c r="Y11" s="26">
        <v>0</v>
      </c>
      <c r="Z11" s="26">
        <v>1</v>
      </c>
      <c r="AA11" s="26">
        <v>0.2</v>
      </c>
      <c r="AB11" s="26">
        <v>3.5000000000000003E-2</v>
      </c>
      <c r="AC11" s="26">
        <v>8.5000000000000006E-2</v>
      </c>
      <c r="AD11" s="26">
        <v>1.5840000000000001</v>
      </c>
      <c r="AE11" s="26">
        <v>0</v>
      </c>
      <c r="AF11" s="26">
        <v>6.0999999999999999E-2</v>
      </c>
      <c r="AG11" s="26">
        <v>0</v>
      </c>
      <c r="AH11" s="26">
        <v>9.1999999999999993</v>
      </c>
      <c r="AI11" s="26">
        <v>0.2</v>
      </c>
      <c r="AJ11" s="26">
        <v>5</v>
      </c>
      <c r="AK11" s="26">
        <v>5</v>
      </c>
      <c r="AL11" s="26">
        <v>0</v>
      </c>
      <c r="AM11" s="26">
        <v>0</v>
      </c>
      <c r="AN11" s="26">
        <v>0</v>
      </c>
      <c r="AO11" s="26">
        <v>0</v>
      </c>
      <c r="AP11" s="26">
        <v>0</v>
      </c>
      <c r="AQ11" s="26">
        <v>0</v>
      </c>
      <c r="AR11" s="26">
        <v>0</v>
      </c>
      <c r="AS11" s="26">
        <v>0</v>
      </c>
      <c r="AT11" s="26">
        <v>0</v>
      </c>
      <c r="AU11" s="26">
        <v>0</v>
      </c>
      <c r="AV11" s="26">
        <v>0</v>
      </c>
      <c r="AW11" s="26">
        <v>0</v>
      </c>
      <c r="AX11" s="26">
        <v>0</v>
      </c>
      <c r="AY11" s="26">
        <v>0</v>
      </c>
      <c r="AZ11" s="26">
        <v>0</v>
      </c>
      <c r="BA11" s="26">
        <v>0</v>
      </c>
      <c r="BB11" s="26">
        <v>0</v>
      </c>
      <c r="BC11" s="26">
        <v>0</v>
      </c>
      <c r="BD11" s="26">
        <v>3</v>
      </c>
      <c r="BE11" s="26">
        <v>0.58199999999999996</v>
      </c>
      <c r="BF11" s="26"/>
    </row>
    <row r="12" spans="1:74" ht="14.4">
      <c r="A12">
        <v>172884</v>
      </c>
      <c r="B12" t="s">
        <v>275</v>
      </c>
      <c r="D12" s="8" t="s">
        <v>221</v>
      </c>
      <c r="E12">
        <v>240</v>
      </c>
      <c r="F12" s="32">
        <v>2.52</v>
      </c>
      <c r="G12" s="26">
        <v>1.2</v>
      </c>
      <c r="H12" s="26">
        <v>3.53</v>
      </c>
      <c r="I12" s="26">
        <v>0</v>
      </c>
      <c r="J12" s="26">
        <v>36</v>
      </c>
      <c r="K12" s="26">
        <v>1.58</v>
      </c>
      <c r="L12" s="26">
        <v>0</v>
      </c>
      <c r="M12" s="26">
        <v>0.21</v>
      </c>
      <c r="N12" s="26">
        <v>4</v>
      </c>
      <c r="O12" s="26">
        <v>27</v>
      </c>
      <c r="P12" s="26">
        <v>105</v>
      </c>
      <c r="Q12" s="26">
        <v>143</v>
      </c>
      <c r="R12" s="26">
        <v>0.14000000000000001</v>
      </c>
      <c r="S12" s="26">
        <v>5.3999999999999999E-2</v>
      </c>
      <c r="T12" s="26">
        <v>0</v>
      </c>
      <c r="U12" s="26">
        <v>2.2000000000000002</v>
      </c>
      <c r="V12" s="26">
        <v>1</v>
      </c>
      <c r="W12" s="26">
        <v>0.03</v>
      </c>
      <c r="X12" s="26">
        <v>0</v>
      </c>
      <c r="Y12" s="26">
        <v>0</v>
      </c>
      <c r="Z12" s="26">
        <v>1</v>
      </c>
      <c r="AA12" s="26">
        <v>0.2</v>
      </c>
      <c r="AB12" s="26">
        <v>3.5000000000000003E-2</v>
      </c>
      <c r="AC12" s="26">
        <v>8.5000000000000006E-2</v>
      </c>
      <c r="AD12" s="26">
        <v>1.5840000000000001</v>
      </c>
      <c r="AE12" s="26">
        <v>0</v>
      </c>
      <c r="AF12" s="26">
        <v>6.0999999999999999E-2</v>
      </c>
      <c r="AG12" s="26">
        <v>0</v>
      </c>
      <c r="AH12" s="26">
        <v>9.1999999999999993</v>
      </c>
      <c r="AI12" s="26">
        <v>0.2</v>
      </c>
      <c r="AJ12" s="26">
        <v>5</v>
      </c>
      <c r="AK12" s="26">
        <v>5</v>
      </c>
      <c r="AL12" s="26">
        <v>0</v>
      </c>
      <c r="AM12" s="26">
        <v>0</v>
      </c>
      <c r="AN12" s="26">
        <v>0</v>
      </c>
      <c r="AO12" s="26">
        <v>0</v>
      </c>
      <c r="AP12" s="26">
        <v>0</v>
      </c>
      <c r="AQ12" s="26">
        <v>0</v>
      </c>
      <c r="AR12" s="26">
        <v>0</v>
      </c>
      <c r="AS12" s="26">
        <v>0</v>
      </c>
      <c r="AT12" s="26">
        <v>0</v>
      </c>
      <c r="AU12" s="26">
        <v>0</v>
      </c>
      <c r="AV12" s="26">
        <v>0</v>
      </c>
      <c r="AW12" s="26">
        <v>0</v>
      </c>
      <c r="AX12" s="26">
        <v>0</v>
      </c>
      <c r="AY12" s="26">
        <v>0</v>
      </c>
      <c r="AZ12" s="26">
        <v>0</v>
      </c>
      <c r="BA12" s="26">
        <v>0</v>
      </c>
      <c r="BB12" s="26">
        <v>0</v>
      </c>
      <c r="BC12" s="26">
        <v>0</v>
      </c>
      <c r="BD12" s="26">
        <v>3</v>
      </c>
      <c r="BE12" s="26">
        <v>0.58199999999999996</v>
      </c>
      <c r="BF12" s="26"/>
    </row>
    <row r="13" spans="1:74" ht="15" customHeight="1">
      <c r="A13" s="12">
        <v>2342243</v>
      </c>
      <c r="B13" s="12" t="s">
        <v>190</v>
      </c>
      <c r="C13" s="3" t="s">
        <v>88</v>
      </c>
      <c r="D13" s="24" t="s">
        <v>277</v>
      </c>
      <c r="E13" s="8">
        <v>120</v>
      </c>
      <c r="F13" s="7">
        <v>13.97</v>
      </c>
      <c r="G13" s="7">
        <v>18.760000000000002</v>
      </c>
      <c r="H13" s="24">
        <v>2.8</v>
      </c>
      <c r="I13">
        <v>0</v>
      </c>
      <c r="J13" s="13">
        <v>235</v>
      </c>
      <c r="K13" s="7">
        <v>2.1</v>
      </c>
      <c r="L13" s="3">
        <v>0.4</v>
      </c>
      <c r="M13" s="3">
        <v>0.51</v>
      </c>
      <c r="N13" s="3">
        <v>15</v>
      </c>
      <c r="O13" s="7">
        <v>131</v>
      </c>
      <c r="P13" s="7">
        <v>206</v>
      </c>
      <c r="Q13" s="7">
        <v>480</v>
      </c>
      <c r="R13" s="7">
        <v>0.88</v>
      </c>
      <c r="S13" s="24">
        <v>4.9000000000000002E-2</v>
      </c>
      <c r="T13" s="7">
        <v>0</v>
      </c>
      <c r="U13" s="7">
        <v>12.7</v>
      </c>
      <c r="V13" s="7">
        <v>7</v>
      </c>
      <c r="W13" s="7">
        <v>0.98</v>
      </c>
      <c r="X13" s="13">
        <v>0</v>
      </c>
      <c r="Y13" s="24">
        <v>18</v>
      </c>
      <c r="Z13" s="7">
        <v>82</v>
      </c>
      <c r="AA13" s="7">
        <v>0.8</v>
      </c>
      <c r="AB13" s="7">
        <v>4.2000000000000003E-2</v>
      </c>
      <c r="AC13" s="7">
        <v>0.111</v>
      </c>
      <c r="AD13" s="7">
        <v>3.9409999999999998</v>
      </c>
      <c r="AE13" s="7">
        <v>0</v>
      </c>
      <c r="AF13" s="7">
        <v>0.14499999999999999</v>
      </c>
      <c r="AG13" s="3">
        <v>0.21</v>
      </c>
      <c r="AH13" s="12">
        <v>42.4</v>
      </c>
      <c r="AI13" s="3">
        <v>45.1</v>
      </c>
      <c r="AJ13" s="24">
        <v>13</v>
      </c>
      <c r="AK13" s="3">
        <v>13</v>
      </c>
      <c r="AL13" s="12">
        <v>0</v>
      </c>
      <c r="AM13" s="3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24">
        <v>0</v>
      </c>
      <c r="AX13" s="24">
        <v>0</v>
      </c>
      <c r="AY13" s="24">
        <v>0</v>
      </c>
      <c r="AZ13" s="7">
        <v>0</v>
      </c>
      <c r="BA13" s="7">
        <v>0</v>
      </c>
      <c r="BB13" s="7">
        <v>0</v>
      </c>
      <c r="BC13" s="7">
        <v>8.5489999999999995</v>
      </c>
      <c r="BD13" s="3">
        <v>66</v>
      </c>
      <c r="BE13" s="7">
        <v>4.8739999999999997</v>
      </c>
      <c r="BF13" s="24"/>
    </row>
    <row r="14" spans="1:74" ht="15" customHeight="1">
      <c r="A14" s="17">
        <v>2709881</v>
      </c>
      <c r="B14" s="12" t="s">
        <v>255</v>
      </c>
      <c r="C14" s="27"/>
      <c r="D14" s="11" t="s">
        <v>221</v>
      </c>
      <c r="E14" s="5"/>
      <c r="F14" s="23">
        <f>F34/2</f>
        <v>1.82</v>
      </c>
      <c r="G14" s="23">
        <f>G34/2</f>
        <v>0.19500000000000001</v>
      </c>
      <c r="H14" s="23">
        <f>H34/2</f>
        <v>0.16</v>
      </c>
      <c r="I14" s="23">
        <f>I34/2</f>
        <v>0</v>
      </c>
      <c r="J14" s="23">
        <f>J34/2</f>
        <v>21</v>
      </c>
      <c r="K14" s="23">
        <f>Q34/2</f>
        <v>1.04</v>
      </c>
      <c r="L14" s="23">
        <f t="shared" ref="L14:Y14" si="0">S34/2</f>
        <v>2.0499999999999998</v>
      </c>
      <c r="M14" s="23">
        <f t="shared" si="0"/>
        <v>0.24</v>
      </c>
      <c r="N14" s="23">
        <f t="shared" si="0"/>
        <v>9</v>
      </c>
      <c r="O14" s="23">
        <f t="shared" si="0"/>
        <v>33</v>
      </c>
      <c r="P14" s="23">
        <f t="shared" si="0"/>
        <v>145</v>
      </c>
      <c r="Q14" s="23">
        <f t="shared" si="0"/>
        <v>7.5</v>
      </c>
      <c r="R14" s="23">
        <f t="shared" si="0"/>
        <v>0.12</v>
      </c>
      <c r="S14" s="23">
        <f t="shared" si="0"/>
        <v>1.7000000000000001E-2</v>
      </c>
      <c r="T14" s="23">
        <f t="shared" si="0"/>
        <v>0</v>
      </c>
      <c r="U14" s="23">
        <f t="shared" si="0"/>
        <v>0.3</v>
      </c>
      <c r="V14" s="23">
        <f t="shared" si="0"/>
        <v>0</v>
      </c>
      <c r="W14" s="23">
        <f t="shared" si="0"/>
        <v>0.255</v>
      </c>
      <c r="X14" s="23">
        <f t="shared" si="0"/>
        <v>0</v>
      </c>
      <c r="Y14" s="23">
        <f t="shared" si="0"/>
        <v>0</v>
      </c>
      <c r="Z14" s="23">
        <f t="shared" ref="Z14:AI14" si="1">AH34/2</f>
        <v>770.5</v>
      </c>
      <c r="AA14" s="23">
        <f t="shared" si="1"/>
        <v>22.85</v>
      </c>
      <c r="AB14" s="23">
        <f t="shared" si="1"/>
        <v>5.1499999999999997E-2</v>
      </c>
      <c r="AC14" s="23">
        <f t="shared" si="1"/>
        <v>5.6500000000000002E-2</v>
      </c>
      <c r="AD14" s="23">
        <f t="shared" si="1"/>
        <v>0.26850000000000002</v>
      </c>
      <c r="AE14" s="23">
        <f t="shared" si="1"/>
        <v>0</v>
      </c>
      <c r="AF14" s="23">
        <f t="shared" si="1"/>
        <v>0.14449999999999999</v>
      </c>
      <c r="AG14" s="23">
        <f t="shared" si="1"/>
        <v>0</v>
      </c>
      <c r="AH14" s="23">
        <f t="shared" si="1"/>
        <v>9.0500000000000007</v>
      </c>
      <c r="AI14" s="23">
        <f t="shared" si="1"/>
        <v>96.75</v>
      </c>
      <c r="AJ14" s="23">
        <f t="shared" ref="AJ14:AW14" si="2">AS34/2</f>
        <v>50.5</v>
      </c>
      <c r="AK14" s="23">
        <f t="shared" si="2"/>
        <v>50.5</v>
      </c>
      <c r="AL14" s="23">
        <f t="shared" si="2"/>
        <v>0</v>
      </c>
      <c r="AM14" s="23">
        <f t="shared" si="2"/>
        <v>0</v>
      </c>
      <c r="AN14" s="23">
        <f t="shared" si="2"/>
        <v>0</v>
      </c>
      <c r="AO14" s="23">
        <f t="shared" si="2"/>
        <v>0</v>
      </c>
      <c r="AP14" s="23">
        <f t="shared" si="2"/>
        <v>0</v>
      </c>
      <c r="AQ14" s="23">
        <f t="shared" si="2"/>
        <v>0</v>
      </c>
      <c r="AR14" s="23">
        <f t="shared" si="2"/>
        <v>0</v>
      </c>
      <c r="AS14" s="23">
        <f t="shared" si="2"/>
        <v>0</v>
      </c>
      <c r="AT14" s="23">
        <f t="shared" si="2"/>
        <v>0</v>
      </c>
      <c r="AU14" s="23">
        <f t="shared" si="2"/>
        <v>0</v>
      </c>
      <c r="AV14" s="23">
        <f t="shared" si="2"/>
        <v>0</v>
      </c>
      <c r="AW14" s="23">
        <f t="shared" si="2"/>
        <v>0</v>
      </c>
      <c r="AX14" s="23">
        <f t="shared" ref="AX14:BC14" si="3">BH34/2</f>
        <v>0</v>
      </c>
      <c r="AY14" s="23">
        <f t="shared" si="3"/>
        <v>0</v>
      </c>
      <c r="AZ14" s="23">
        <f t="shared" si="3"/>
        <v>0</v>
      </c>
      <c r="BA14" s="23">
        <f t="shared" si="3"/>
        <v>0</v>
      </c>
      <c r="BB14" s="23">
        <f t="shared" si="3"/>
        <v>0</v>
      </c>
      <c r="BC14" s="23">
        <f t="shared" si="3"/>
        <v>0</v>
      </c>
      <c r="BD14" s="23">
        <f>BO34/2</f>
        <v>0</v>
      </c>
      <c r="BE14" s="23">
        <f>BP34/2</f>
        <v>1.4999999999999999E-2</v>
      </c>
      <c r="BF14" s="23"/>
    </row>
    <row r="15" spans="1:74" ht="15" customHeight="1">
      <c r="A15" s="7">
        <v>169969</v>
      </c>
      <c r="B15" s="8" t="s">
        <v>103</v>
      </c>
      <c r="C15" s="30" t="s">
        <v>88</v>
      </c>
      <c r="D15" s="13" t="s">
        <v>221</v>
      </c>
      <c r="E15" s="13">
        <v>184</v>
      </c>
      <c r="F15" s="19">
        <v>3.1</v>
      </c>
      <c r="G15" s="19">
        <v>0.12</v>
      </c>
      <c r="H15" s="20">
        <v>5.35</v>
      </c>
      <c r="I15" s="20">
        <v>0.71</v>
      </c>
      <c r="J15" s="18">
        <v>28</v>
      </c>
      <c r="K15" s="9">
        <v>1.47</v>
      </c>
      <c r="L15" s="19">
        <v>3</v>
      </c>
      <c r="M15" s="20">
        <v>0.61</v>
      </c>
      <c r="N15" s="13">
        <v>13</v>
      </c>
      <c r="O15" s="9">
        <v>49</v>
      </c>
      <c r="P15" s="9">
        <v>142</v>
      </c>
      <c r="Q15" s="25">
        <v>11</v>
      </c>
      <c r="R15" s="8">
        <v>0.28000000000000003</v>
      </c>
      <c r="S15" s="9">
        <v>3.4000000000000002E-2</v>
      </c>
      <c r="T15" s="13">
        <v>0.223</v>
      </c>
      <c r="U15" s="9">
        <v>7.0000000000000007E-2</v>
      </c>
      <c r="V15" s="25">
        <v>0</v>
      </c>
      <c r="W15" s="14">
        <v>1.32</v>
      </c>
      <c r="X15" s="8">
        <v>0</v>
      </c>
      <c r="Y15" s="16">
        <v>1</v>
      </c>
      <c r="Z15" s="9">
        <v>1095</v>
      </c>
      <c r="AA15" s="13">
        <v>40.1</v>
      </c>
      <c r="AB15" s="9">
        <v>5.5E-2</v>
      </c>
      <c r="AC15" s="9">
        <v>8.1000000000000003E-2</v>
      </c>
      <c r="AD15" s="25">
        <v>0.45800000000000002</v>
      </c>
      <c r="AE15" s="9">
        <v>0.27400000000000002</v>
      </c>
      <c r="AF15" s="9">
        <v>0.13</v>
      </c>
      <c r="AG15" s="7">
        <v>0</v>
      </c>
      <c r="AH15" s="10">
        <v>16.2</v>
      </c>
      <c r="AI15" s="7">
        <v>86.1</v>
      </c>
      <c r="AJ15" s="9">
        <v>33</v>
      </c>
      <c r="AK15" s="10">
        <v>56</v>
      </c>
      <c r="AL15" s="10">
        <v>0</v>
      </c>
      <c r="AM15" s="9">
        <v>3.2000000000000001E-2</v>
      </c>
      <c r="AN15" s="9">
        <v>0.10100000000000001</v>
      </c>
      <c r="AO15" s="9">
        <v>0.121</v>
      </c>
      <c r="AP15" s="10">
        <v>0.14499999999999999</v>
      </c>
      <c r="AQ15" s="9">
        <v>0.156</v>
      </c>
      <c r="AR15" s="9">
        <v>3.6999999999999998E-2</v>
      </c>
      <c r="AS15" s="25">
        <v>0.22</v>
      </c>
      <c r="AT15" s="9">
        <v>9.4E-2</v>
      </c>
      <c r="AU15" s="9">
        <v>7.0000000000000007E-2</v>
      </c>
      <c r="AV15" s="9">
        <v>0.14199999999999999</v>
      </c>
      <c r="AW15" s="9">
        <v>0.161</v>
      </c>
      <c r="AX15" s="10">
        <v>0.13</v>
      </c>
      <c r="AY15" s="8">
        <v>0.23599999999999999</v>
      </c>
      <c r="AZ15" s="8">
        <v>0.41699999999999998</v>
      </c>
      <c r="BA15" s="9">
        <v>0.105</v>
      </c>
      <c r="BB15" s="9">
        <v>0.127</v>
      </c>
      <c r="BC15" s="9">
        <v>0.111</v>
      </c>
      <c r="BD15" s="25">
        <v>0</v>
      </c>
      <c r="BE15" s="16">
        <v>8.0000000000000002E-3</v>
      </c>
      <c r="BF15" s="10"/>
    </row>
    <row r="16" spans="1:74" ht="15" customHeight="1">
      <c r="A16" s="24">
        <v>2341376</v>
      </c>
      <c r="B16" s="24" t="s">
        <v>244</v>
      </c>
      <c r="C16" s="28" t="s">
        <v>207</v>
      </c>
      <c r="D16" s="24" t="s">
        <v>227</v>
      </c>
      <c r="E16" s="24">
        <v>80</v>
      </c>
      <c r="F16" s="32">
        <v>24.33</v>
      </c>
      <c r="G16" s="26">
        <v>4.93</v>
      </c>
      <c r="H16" s="32">
        <v>7.34</v>
      </c>
      <c r="I16" s="32">
        <v>0</v>
      </c>
      <c r="J16" s="26">
        <v>178</v>
      </c>
      <c r="K16" s="26">
        <v>5.98</v>
      </c>
      <c r="L16" s="37">
        <v>0.02</v>
      </c>
      <c r="M16" s="26">
        <v>0.48</v>
      </c>
      <c r="N16" s="26">
        <v>25</v>
      </c>
      <c r="O16" s="26">
        <v>0.187</v>
      </c>
      <c r="P16" s="26">
        <v>0.32900000000000001</v>
      </c>
      <c r="Q16" s="26">
        <v>473</v>
      </c>
      <c r="R16" s="26">
        <v>0.76</v>
      </c>
      <c r="S16" s="26">
        <v>5.0999999999999997E-2</v>
      </c>
      <c r="T16" s="26">
        <v>0</v>
      </c>
      <c r="U16" s="26">
        <v>24.7</v>
      </c>
      <c r="V16" s="26">
        <v>7</v>
      </c>
      <c r="W16" s="26">
        <v>1.07</v>
      </c>
      <c r="X16" s="26">
        <v>0</v>
      </c>
      <c r="Y16" s="32">
        <v>0</v>
      </c>
      <c r="Z16" s="26">
        <v>16</v>
      </c>
      <c r="AA16" s="32">
        <v>0.1</v>
      </c>
      <c r="AB16" s="26">
        <v>7.4999999999999997E-2</v>
      </c>
      <c r="AC16" s="26">
        <v>0.18099999999999999</v>
      </c>
      <c r="AD16" s="26">
        <v>8.36</v>
      </c>
      <c r="AE16" s="26">
        <v>0</v>
      </c>
      <c r="AF16" s="26">
        <v>0.71099999999999997</v>
      </c>
      <c r="AG16" s="32">
        <v>0.15</v>
      </c>
      <c r="AH16" s="26">
        <v>63</v>
      </c>
      <c r="AI16" s="26">
        <v>2.5</v>
      </c>
      <c r="AJ16" s="26">
        <v>6</v>
      </c>
      <c r="AK16" s="37">
        <v>6</v>
      </c>
      <c r="AL16" s="32">
        <v>0</v>
      </c>
      <c r="AM16" s="33">
        <v>0</v>
      </c>
      <c r="AN16" s="26">
        <v>0</v>
      </c>
      <c r="AO16" s="26">
        <v>0</v>
      </c>
      <c r="AP16" s="26">
        <v>0</v>
      </c>
      <c r="AQ16" s="26">
        <v>0</v>
      </c>
      <c r="AR16" s="26">
        <v>0</v>
      </c>
      <c r="AS16" s="32">
        <v>0</v>
      </c>
      <c r="AT16" s="26">
        <v>0</v>
      </c>
      <c r="AU16" s="26">
        <v>0</v>
      </c>
      <c r="AV16" s="32">
        <v>0</v>
      </c>
      <c r="AW16" s="26">
        <v>0</v>
      </c>
      <c r="AX16" s="26">
        <v>0</v>
      </c>
      <c r="AY16" s="32">
        <v>0</v>
      </c>
      <c r="AZ16" s="32">
        <v>0</v>
      </c>
      <c r="BA16" s="26">
        <v>0</v>
      </c>
      <c r="BB16" s="26">
        <v>0</v>
      </c>
      <c r="BC16" s="26">
        <v>0</v>
      </c>
      <c r="BD16" s="32">
        <v>78</v>
      </c>
      <c r="BE16" s="26">
        <v>1.5620000000000001</v>
      </c>
      <c r="BF16" s="32"/>
    </row>
    <row r="17" spans="1:69" ht="15" customHeight="1">
      <c r="A17">
        <v>168399</v>
      </c>
      <c r="B17" t="s">
        <v>106</v>
      </c>
      <c r="C17" s="28" t="s">
        <v>88</v>
      </c>
      <c r="D17" t="s">
        <v>221</v>
      </c>
      <c r="E17">
        <v>165</v>
      </c>
      <c r="F17" s="24">
        <v>2.5499999999999998</v>
      </c>
      <c r="G17">
        <v>0.67</v>
      </c>
      <c r="H17">
        <v>19.3</v>
      </c>
      <c r="I17">
        <v>0.44</v>
      </c>
      <c r="J17">
        <v>338</v>
      </c>
      <c r="K17">
        <v>3.07</v>
      </c>
      <c r="L17" s="24">
        <v>2.4</v>
      </c>
      <c r="M17">
        <v>0.47</v>
      </c>
      <c r="N17">
        <v>28</v>
      </c>
      <c r="O17" s="24">
        <v>79</v>
      </c>
      <c r="P17">
        <v>233</v>
      </c>
      <c r="Q17">
        <v>1</v>
      </c>
      <c r="R17" s="24">
        <v>0.63</v>
      </c>
      <c r="S17">
        <v>4.8000000000000001E-2</v>
      </c>
      <c r="T17">
        <v>0.155</v>
      </c>
      <c r="U17">
        <v>0.7</v>
      </c>
      <c r="V17">
        <v>0</v>
      </c>
      <c r="W17">
        <v>7.0000000000000007E-2</v>
      </c>
      <c r="X17">
        <v>0</v>
      </c>
      <c r="Y17">
        <v>122</v>
      </c>
      <c r="Z17">
        <v>684</v>
      </c>
      <c r="AA17">
        <v>3.5</v>
      </c>
      <c r="AB17">
        <v>0.03</v>
      </c>
      <c r="AC17">
        <v>6.2E-2</v>
      </c>
      <c r="AD17">
        <v>1.3109999999999999</v>
      </c>
      <c r="AE17" s="24">
        <v>0.151</v>
      </c>
      <c r="AF17">
        <v>9.9000000000000005E-2</v>
      </c>
      <c r="AG17">
        <v>0</v>
      </c>
      <c r="AH17">
        <v>22</v>
      </c>
      <c r="AI17">
        <v>0.3</v>
      </c>
      <c r="AJ17">
        <v>3</v>
      </c>
      <c r="AK17">
        <v>35</v>
      </c>
      <c r="AL17">
        <v>0.2</v>
      </c>
      <c r="AM17" s="24">
        <v>3.1E-2</v>
      </c>
      <c r="AN17">
        <v>0.115</v>
      </c>
      <c r="AO17">
        <v>0.13700000000000001</v>
      </c>
      <c r="AP17" s="24">
        <v>0.251</v>
      </c>
      <c r="AQ17">
        <v>0.153</v>
      </c>
      <c r="AR17">
        <v>6.8000000000000005E-2</v>
      </c>
      <c r="AS17">
        <v>3.7999999999999999E-2</v>
      </c>
      <c r="AT17">
        <v>0.13100000000000001</v>
      </c>
      <c r="AU17">
        <v>0.106</v>
      </c>
      <c r="AV17">
        <v>0.16700000000000001</v>
      </c>
      <c r="AW17">
        <v>0.126</v>
      </c>
      <c r="AX17" s="24">
        <v>0.17199999999999999</v>
      </c>
      <c r="AY17" s="24">
        <v>0.219</v>
      </c>
      <c r="AZ17">
        <v>0.438</v>
      </c>
      <c r="BA17">
        <v>8.5000000000000006E-2</v>
      </c>
      <c r="BB17">
        <v>0.18099999999999999</v>
      </c>
      <c r="BC17">
        <v>0.156</v>
      </c>
      <c r="BD17">
        <v>0</v>
      </c>
      <c r="BE17">
        <v>0.19700000000000001</v>
      </c>
    </row>
    <row r="18" spans="1:69" ht="15" customHeight="1">
      <c r="A18" s="13">
        <v>173424</v>
      </c>
      <c r="B18" s="14" t="s">
        <v>84</v>
      </c>
      <c r="C18" s="28" t="s">
        <v>117</v>
      </c>
      <c r="D18" s="13" t="s">
        <v>229</v>
      </c>
      <c r="E18" s="13">
        <v>50</v>
      </c>
      <c r="F18" s="25">
        <v>12.58</v>
      </c>
      <c r="G18" s="25">
        <v>10.61</v>
      </c>
      <c r="H18" s="10">
        <v>1.1200000000000001</v>
      </c>
      <c r="I18" s="10">
        <v>1.08</v>
      </c>
      <c r="J18" s="9">
        <v>155</v>
      </c>
      <c r="K18" s="9">
        <v>1.1200000000000001</v>
      </c>
      <c r="L18" s="25">
        <v>0</v>
      </c>
      <c r="M18" s="16">
        <v>1.19</v>
      </c>
      <c r="N18" s="13">
        <v>10</v>
      </c>
      <c r="O18" s="25">
        <v>172</v>
      </c>
      <c r="P18" s="25">
        <v>126</v>
      </c>
      <c r="Q18" s="25">
        <v>124</v>
      </c>
      <c r="R18" s="8">
        <v>1.05</v>
      </c>
      <c r="S18" s="25">
        <v>1.2999999999999999E-2</v>
      </c>
      <c r="T18" s="13">
        <v>2.5999999999999999E-2</v>
      </c>
      <c r="U18" s="25">
        <v>30.8</v>
      </c>
      <c r="V18" s="25">
        <v>148</v>
      </c>
      <c r="W18" s="14">
        <v>1.03</v>
      </c>
      <c r="X18" s="14">
        <v>87</v>
      </c>
      <c r="Y18" s="16">
        <v>10</v>
      </c>
      <c r="Z18" s="25">
        <v>353</v>
      </c>
      <c r="AA18" s="13">
        <v>0</v>
      </c>
      <c r="AB18" s="25">
        <v>6.6000000000000003E-2</v>
      </c>
      <c r="AC18" s="25">
        <v>0.51300000000000001</v>
      </c>
      <c r="AD18" s="25">
        <v>6.4000000000000001E-2</v>
      </c>
      <c r="AE18" s="25">
        <v>1.3979999999999999</v>
      </c>
      <c r="AF18" s="25">
        <v>0.121</v>
      </c>
      <c r="AG18" s="13">
        <v>1.1299999999999999</v>
      </c>
      <c r="AH18" s="10">
        <v>293.8</v>
      </c>
      <c r="AI18" s="13">
        <v>0.3</v>
      </c>
      <c r="AJ18" s="25">
        <v>50</v>
      </c>
      <c r="AK18" s="16">
        <v>44</v>
      </c>
      <c r="AL18" s="16">
        <v>0.06</v>
      </c>
      <c r="AM18" s="25">
        <v>0.153</v>
      </c>
      <c r="AN18" s="25">
        <v>0</v>
      </c>
      <c r="AO18" s="25">
        <v>0.68600000000000005</v>
      </c>
      <c r="AP18" s="16">
        <v>1.075</v>
      </c>
      <c r="AQ18" s="25">
        <v>0.90400000000000003</v>
      </c>
      <c r="AR18" s="25">
        <v>0.39200000000000002</v>
      </c>
      <c r="AS18" s="25">
        <v>0.29199999999999998</v>
      </c>
      <c r="AT18" s="25">
        <v>0.66800000000000004</v>
      </c>
      <c r="AU18" s="25">
        <v>0.51300000000000001</v>
      </c>
      <c r="AV18" s="25">
        <v>0.76700000000000002</v>
      </c>
      <c r="AW18" s="9">
        <v>0.755</v>
      </c>
      <c r="AX18" s="16">
        <v>7.0000000000000007E-2</v>
      </c>
      <c r="AY18" s="14">
        <v>1.264</v>
      </c>
      <c r="AZ18" s="14">
        <v>1.044</v>
      </c>
      <c r="BA18" s="9">
        <v>0.42299999999999999</v>
      </c>
      <c r="BB18" s="9">
        <v>0.501</v>
      </c>
      <c r="BC18" s="9">
        <v>0.93600000000000005</v>
      </c>
      <c r="BD18" s="9">
        <v>373</v>
      </c>
      <c r="BE18" s="16">
        <v>4.077</v>
      </c>
      <c r="BF18" s="16"/>
    </row>
    <row r="19" spans="1:69" ht="15" customHeight="1">
      <c r="A19" s="24">
        <v>790018</v>
      </c>
      <c r="B19" t="s">
        <v>210</v>
      </c>
      <c r="C19" s="28"/>
      <c r="D19" s="41" t="s">
        <v>221</v>
      </c>
      <c r="E19" s="24"/>
      <c r="F19" s="26">
        <f>F33/2</f>
        <v>6</v>
      </c>
      <c r="G19" s="26">
        <f>G33/2</f>
        <v>0.85</v>
      </c>
      <c r="H19" s="26">
        <f>H33/2</f>
        <v>37.299999999999997</v>
      </c>
      <c r="I19" s="26">
        <f>I33/2</f>
        <v>0</v>
      </c>
      <c r="J19" s="26">
        <f>J33/2</f>
        <v>181</v>
      </c>
      <c r="K19" s="26">
        <f>Q33/2</f>
        <v>0.13500000000000001</v>
      </c>
      <c r="L19" s="26">
        <f t="shared" ref="L19:Y19" si="4">S33/2</f>
        <v>1.5</v>
      </c>
      <c r="M19" s="26">
        <f t="shared" si="4"/>
        <v>0.55000000000000004</v>
      </c>
      <c r="N19" s="26">
        <f t="shared" si="4"/>
        <v>18</v>
      </c>
      <c r="O19" s="26">
        <f t="shared" si="4"/>
        <v>67</v>
      </c>
      <c r="P19" s="26">
        <f t="shared" si="4"/>
        <v>75</v>
      </c>
      <c r="Q19" s="26">
        <f t="shared" si="4"/>
        <v>1</v>
      </c>
      <c r="R19" s="26">
        <f t="shared" si="4"/>
        <v>0.57499999999999996</v>
      </c>
      <c r="S19" s="26">
        <f t="shared" si="4"/>
        <v>0.106</v>
      </c>
      <c r="T19" s="26">
        <f t="shared" si="4"/>
        <v>0</v>
      </c>
      <c r="U19" s="26">
        <f t="shared" si="4"/>
        <v>10.050000000000001</v>
      </c>
      <c r="V19" s="26">
        <f t="shared" si="4"/>
        <v>0</v>
      </c>
      <c r="W19" s="26">
        <f t="shared" si="4"/>
        <v>0.03</v>
      </c>
      <c r="X19" s="26">
        <f t="shared" si="4"/>
        <v>0</v>
      </c>
      <c r="Y19" s="26">
        <f t="shared" si="4"/>
        <v>0</v>
      </c>
      <c r="Z19" s="26">
        <f t="shared" ref="Z19:AI19" si="5">AH33/2</f>
        <v>5</v>
      </c>
      <c r="AA19" s="26">
        <f t="shared" si="5"/>
        <v>0</v>
      </c>
      <c r="AB19" s="26">
        <f t="shared" si="5"/>
        <v>0.14899999999999999</v>
      </c>
      <c r="AC19" s="26">
        <f t="shared" si="5"/>
        <v>0</v>
      </c>
      <c r="AD19" s="26">
        <f t="shared" si="5"/>
        <v>0.79500000000000004</v>
      </c>
      <c r="AE19" s="26">
        <f t="shared" si="5"/>
        <v>0</v>
      </c>
      <c r="AF19" s="26">
        <f t="shared" si="5"/>
        <v>4.2500000000000003E-2</v>
      </c>
      <c r="AG19" s="26">
        <f t="shared" si="5"/>
        <v>0</v>
      </c>
      <c r="AH19" s="26">
        <f t="shared" si="5"/>
        <v>5.2</v>
      </c>
      <c r="AI19" s="26">
        <f t="shared" si="5"/>
        <v>0.15</v>
      </c>
      <c r="AJ19" s="26">
        <f t="shared" ref="AJ19:AW19" si="6">AS33/2</f>
        <v>11.5</v>
      </c>
      <c r="AK19" s="26">
        <f t="shared" si="6"/>
        <v>11.5</v>
      </c>
      <c r="AL19" s="26">
        <f t="shared" si="6"/>
        <v>0</v>
      </c>
      <c r="AM19" s="26">
        <f t="shared" si="6"/>
        <v>0</v>
      </c>
      <c r="AN19" s="26">
        <f t="shared" si="6"/>
        <v>0</v>
      </c>
      <c r="AO19" s="26">
        <f t="shared" si="6"/>
        <v>0</v>
      </c>
      <c r="AP19" s="26">
        <f t="shared" si="6"/>
        <v>0</v>
      </c>
      <c r="AQ19" s="26">
        <f t="shared" si="6"/>
        <v>0</v>
      </c>
      <c r="AR19" s="26">
        <f t="shared" si="6"/>
        <v>0</v>
      </c>
      <c r="AS19" s="26">
        <f t="shared" si="6"/>
        <v>0</v>
      </c>
      <c r="AT19" s="26">
        <f t="shared" si="6"/>
        <v>0</v>
      </c>
      <c r="AU19" s="26">
        <f t="shared" si="6"/>
        <v>0</v>
      </c>
      <c r="AV19" s="26">
        <f t="shared" si="6"/>
        <v>0</v>
      </c>
      <c r="AW19" s="26">
        <f t="shared" si="6"/>
        <v>0</v>
      </c>
      <c r="AX19" s="26">
        <f t="shared" ref="AX19:BC19" si="7">BH33/2</f>
        <v>0</v>
      </c>
      <c r="AY19" s="26">
        <f t="shared" si="7"/>
        <v>0</v>
      </c>
      <c r="AZ19" s="26">
        <f t="shared" si="7"/>
        <v>0</v>
      </c>
      <c r="BA19" s="26">
        <f t="shared" si="7"/>
        <v>0</v>
      </c>
      <c r="BB19" s="26">
        <f t="shared" si="7"/>
        <v>0</v>
      </c>
      <c r="BC19" s="26">
        <f t="shared" si="7"/>
        <v>0</v>
      </c>
      <c r="BD19" s="26">
        <f>BO33/2</f>
        <v>0</v>
      </c>
      <c r="BE19" s="26">
        <f>BP33/2</f>
        <v>4.3499999999999997E-2</v>
      </c>
      <c r="BF19" s="26"/>
    </row>
    <row r="20" spans="1:69" ht="15" customHeight="1">
      <c r="A20">
        <v>2709932</v>
      </c>
      <c r="B20" t="s">
        <v>261</v>
      </c>
      <c r="C20" s="29"/>
      <c r="D20" s="14" t="s">
        <v>262</v>
      </c>
      <c r="E20" s="14">
        <v>3</v>
      </c>
      <c r="F20" s="32">
        <v>2.29</v>
      </c>
      <c r="G20" s="26">
        <v>2.71</v>
      </c>
      <c r="H20" s="32">
        <v>4.41</v>
      </c>
      <c r="I20" s="32">
        <v>0</v>
      </c>
      <c r="J20" s="26">
        <v>46</v>
      </c>
      <c r="K20" s="26">
        <v>1.23</v>
      </c>
      <c r="L20" s="26">
        <v>2.8</v>
      </c>
      <c r="M20" s="26">
        <v>0.5</v>
      </c>
      <c r="N20" s="26">
        <v>11</v>
      </c>
      <c r="O20" s="26">
        <v>36</v>
      </c>
      <c r="P20" s="26">
        <v>136</v>
      </c>
      <c r="Q20" s="26">
        <v>135</v>
      </c>
      <c r="R20" s="26">
        <v>0.2</v>
      </c>
      <c r="S20" s="26">
        <v>2.8000000000000001E-2</v>
      </c>
      <c r="T20" s="26">
        <v>0</v>
      </c>
      <c r="U20" s="26">
        <v>0.6</v>
      </c>
      <c r="V20" s="26">
        <v>11</v>
      </c>
      <c r="W20" s="26">
        <v>1.05</v>
      </c>
      <c r="X20" s="26">
        <v>0</v>
      </c>
      <c r="Y20" s="26">
        <v>1</v>
      </c>
      <c r="Z20" s="26">
        <v>542</v>
      </c>
      <c r="AA20" s="26">
        <v>34.6</v>
      </c>
      <c r="AB20" s="26">
        <v>4.4999999999999998E-2</v>
      </c>
      <c r="AC20" s="26">
        <v>6.5000000000000002E-2</v>
      </c>
      <c r="AD20" s="26">
        <v>0.372</v>
      </c>
      <c r="AE20" s="26">
        <v>0</v>
      </c>
      <c r="AF20" s="26">
        <v>0.122</v>
      </c>
      <c r="AG20" s="26">
        <v>0</v>
      </c>
      <c r="AH20" s="26">
        <v>24.3</v>
      </c>
      <c r="AI20" s="26">
        <v>50.5</v>
      </c>
      <c r="AJ20" s="26">
        <v>47</v>
      </c>
      <c r="AK20" s="26">
        <v>47</v>
      </c>
      <c r="AL20" s="26">
        <v>0</v>
      </c>
      <c r="AM20" s="26">
        <v>0</v>
      </c>
      <c r="AN20" s="26">
        <v>0</v>
      </c>
      <c r="AO20" s="26">
        <v>0</v>
      </c>
      <c r="AP20" s="26">
        <v>0</v>
      </c>
      <c r="AQ20" s="26">
        <v>0</v>
      </c>
      <c r="AR20" s="26">
        <v>0</v>
      </c>
      <c r="AS20" s="26">
        <v>0</v>
      </c>
      <c r="AT20" s="26">
        <v>0</v>
      </c>
      <c r="AU20" s="26">
        <v>0</v>
      </c>
      <c r="AV20" s="26">
        <v>0</v>
      </c>
      <c r="AW20" s="26">
        <v>0</v>
      </c>
      <c r="AX20" s="26">
        <v>0</v>
      </c>
      <c r="AY20" s="26">
        <v>0</v>
      </c>
      <c r="AZ20" s="26">
        <v>0</v>
      </c>
      <c r="BA20" s="26">
        <v>0</v>
      </c>
      <c r="BB20" s="26">
        <v>0</v>
      </c>
      <c r="BC20" s="26">
        <v>0</v>
      </c>
      <c r="BD20" s="26">
        <v>2</v>
      </c>
      <c r="BE20" s="26">
        <v>0.91500000000000004</v>
      </c>
      <c r="BF20" s="26"/>
    </row>
    <row r="21" spans="1:69" ht="15" customHeight="1">
      <c r="A21">
        <v>790646</v>
      </c>
      <c r="B21" t="s">
        <v>267</v>
      </c>
      <c r="D21" s="14"/>
      <c r="E21" s="14">
        <v>140</v>
      </c>
      <c r="F21" s="32">
        <f>F32/2</f>
        <v>0.41499999999999998</v>
      </c>
      <c r="G21" s="32">
        <f>G32/2</f>
        <v>2.5000000000000001E-2</v>
      </c>
      <c r="H21" s="32">
        <f>H32/2</f>
        <v>4.3049999999999997</v>
      </c>
      <c r="I21" s="32">
        <f>I32/2</f>
        <v>0</v>
      </c>
      <c r="J21" s="32">
        <f>J32/2</f>
        <v>19</v>
      </c>
      <c r="K21" s="32">
        <f>Q32/2</f>
        <v>2.91</v>
      </c>
      <c r="L21" s="32">
        <f t="shared" ref="L21:Y21" si="8">S32/2</f>
        <v>0.95</v>
      </c>
      <c r="M21" s="32">
        <f t="shared" si="8"/>
        <v>0.14000000000000001</v>
      </c>
      <c r="N21" s="32">
        <f t="shared" si="8"/>
        <v>4.5</v>
      </c>
      <c r="O21" s="32">
        <f t="shared" si="8"/>
        <v>17</v>
      </c>
      <c r="P21" s="32">
        <f t="shared" si="8"/>
        <v>91</v>
      </c>
      <c r="Q21" s="32">
        <f t="shared" si="8"/>
        <v>0.5</v>
      </c>
      <c r="R21" s="32">
        <f t="shared" si="8"/>
        <v>0.1</v>
      </c>
      <c r="S21" s="32">
        <f t="shared" si="8"/>
        <v>1.7500000000000002E-2</v>
      </c>
      <c r="T21" s="32">
        <f t="shared" si="8"/>
        <v>0</v>
      </c>
      <c r="U21" s="32">
        <f t="shared" si="8"/>
        <v>0</v>
      </c>
      <c r="V21" s="32">
        <f t="shared" si="8"/>
        <v>0</v>
      </c>
      <c r="W21" s="32">
        <f t="shared" si="8"/>
        <v>0.01</v>
      </c>
      <c r="X21" s="32">
        <f t="shared" si="8"/>
        <v>0</v>
      </c>
      <c r="Y21" s="32">
        <f t="shared" si="8"/>
        <v>0</v>
      </c>
      <c r="Z21" s="32">
        <f t="shared" ref="Z21:AI21" si="9">AH32/2</f>
        <v>2</v>
      </c>
      <c r="AA21" s="32">
        <f t="shared" si="9"/>
        <v>4.0999999999999996</v>
      </c>
      <c r="AB21" s="32">
        <f t="shared" si="9"/>
        <v>2.3E-2</v>
      </c>
      <c r="AC21" s="32">
        <f t="shared" si="9"/>
        <v>1.35E-2</v>
      </c>
      <c r="AD21" s="32">
        <f t="shared" si="9"/>
        <v>5.8000000000000003E-2</v>
      </c>
      <c r="AE21" s="32">
        <f t="shared" si="9"/>
        <v>0</v>
      </c>
      <c r="AF21" s="32">
        <f t="shared" si="9"/>
        <v>0.06</v>
      </c>
      <c r="AG21" s="32">
        <f t="shared" si="9"/>
        <v>0</v>
      </c>
      <c r="AH21" s="32">
        <f t="shared" si="9"/>
        <v>3.05</v>
      </c>
      <c r="AI21" s="32">
        <f t="shared" si="9"/>
        <v>0.2</v>
      </c>
      <c r="AJ21" s="32">
        <f t="shared" ref="AJ21:AW21" si="10">AS32/2</f>
        <v>9.5</v>
      </c>
      <c r="AK21" s="32">
        <f t="shared" si="10"/>
        <v>9.5</v>
      </c>
      <c r="AL21" s="32">
        <f t="shared" si="10"/>
        <v>0</v>
      </c>
      <c r="AM21" s="32">
        <f t="shared" si="10"/>
        <v>0</v>
      </c>
      <c r="AN21" s="32">
        <f t="shared" si="10"/>
        <v>0</v>
      </c>
      <c r="AO21" s="32">
        <f t="shared" si="10"/>
        <v>0</v>
      </c>
      <c r="AP21" s="32">
        <f t="shared" si="10"/>
        <v>0</v>
      </c>
      <c r="AQ21" s="32">
        <f t="shared" si="10"/>
        <v>0</v>
      </c>
      <c r="AR21" s="32">
        <f t="shared" si="10"/>
        <v>0</v>
      </c>
      <c r="AS21" s="32">
        <f t="shared" si="10"/>
        <v>0</v>
      </c>
      <c r="AT21" s="32">
        <f t="shared" si="10"/>
        <v>0</v>
      </c>
      <c r="AU21" s="32">
        <f t="shared" si="10"/>
        <v>0</v>
      </c>
      <c r="AV21" s="32">
        <f t="shared" si="10"/>
        <v>0</v>
      </c>
      <c r="AW21" s="32">
        <f t="shared" si="10"/>
        <v>0</v>
      </c>
      <c r="AX21" s="32">
        <f t="shared" ref="AX21:BC21" si="11">BH32/2</f>
        <v>0</v>
      </c>
      <c r="AY21" s="32">
        <f t="shared" si="11"/>
        <v>0</v>
      </c>
      <c r="AZ21" s="32">
        <f t="shared" si="11"/>
        <v>0</v>
      </c>
      <c r="BA21" s="32">
        <f t="shared" si="11"/>
        <v>0</v>
      </c>
      <c r="BB21" s="32">
        <f t="shared" si="11"/>
        <v>0</v>
      </c>
      <c r="BC21" s="32">
        <f t="shared" si="11"/>
        <v>0</v>
      </c>
      <c r="BD21" s="32">
        <f>BO32/2</f>
        <v>0</v>
      </c>
      <c r="BE21" s="32">
        <f>BP32/2</f>
        <v>6.4999999999999997E-3</v>
      </c>
      <c r="BF21" s="26"/>
    </row>
    <row r="22" spans="1:69" ht="15" customHeight="1">
      <c r="A22" s="24">
        <v>170440</v>
      </c>
      <c r="B22" s="24" t="s">
        <v>108</v>
      </c>
      <c r="C22" s="28" t="s">
        <v>88</v>
      </c>
      <c r="D22" s="24" t="s">
        <v>229</v>
      </c>
      <c r="E22" s="24">
        <v>300</v>
      </c>
      <c r="F22" s="24">
        <v>1.71</v>
      </c>
      <c r="G22">
        <v>0.1</v>
      </c>
      <c r="H22">
        <v>20.010000000000002</v>
      </c>
      <c r="I22" s="24">
        <v>0.72</v>
      </c>
      <c r="J22">
        <v>86</v>
      </c>
      <c r="K22" s="24">
        <v>0.89</v>
      </c>
      <c r="L22">
        <v>1.8</v>
      </c>
      <c r="M22" s="24">
        <v>0.31</v>
      </c>
      <c r="N22">
        <v>20</v>
      </c>
      <c r="O22" s="24">
        <v>40</v>
      </c>
      <c r="P22" s="24">
        <v>328</v>
      </c>
      <c r="Q22" s="24">
        <v>5</v>
      </c>
      <c r="R22" s="24">
        <v>0.27</v>
      </c>
      <c r="S22" s="24">
        <v>0.16700000000000001</v>
      </c>
      <c r="T22" s="24">
        <v>0.14000000000000001</v>
      </c>
      <c r="U22" s="24">
        <v>0.3</v>
      </c>
      <c r="V22">
        <v>0</v>
      </c>
      <c r="W22">
        <v>0.01</v>
      </c>
      <c r="X22">
        <v>0</v>
      </c>
      <c r="Y22">
        <v>0</v>
      </c>
      <c r="Z22" s="24">
        <v>9</v>
      </c>
      <c r="AA22" s="24">
        <v>7.4</v>
      </c>
      <c r="AB22" s="24">
        <v>9.8000000000000004E-2</v>
      </c>
      <c r="AC22">
        <v>1.9E-2</v>
      </c>
      <c r="AD22" s="24">
        <v>1.3120000000000001</v>
      </c>
      <c r="AE22" s="24">
        <v>0.50800000000000001</v>
      </c>
      <c r="AF22" s="24">
        <v>0.26900000000000002</v>
      </c>
      <c r="AG22" s="24">
        <v>0</v>
      </c>
      <c r="AH22">
        <v>13.2</v>
      </c>
      <c r="AI22" s="24">
        <v>2.2000000000000002</v>
      </c>
      <c r="AJ22">
        <v>8</v>
      </c>
      <c r="AK22">
        <v>9</v>
      </c>
      <c r="AL22">
        <v>0.2</v>
      </c>
      <c r="AM22" s="24">
        <v>2.7E-2</v>
      </c>
      <c r="AN22" s="24">
        <v>6.2E-2</v>
      </c>
      <c r="AO22" s="24">
        <v>0.02</v>
      </c>
      <c r="AP22" s="24">
        <v>0.10299999999999999</v>
      </c>
      <c r="AQ22" s="24">
        <v>0.104</v>
      </c>
      <c r="AR22" s="24">
        <v>0.27</v>
      </c>
      <c r="AS22">
        <v>2.1999999999999999E-2</v>
      </c>
      <c r="AT22" s="24">
        <v>7.5999999999999998E-2</v>
      </c>
      <c r="AU22" s="24">
        <v>6.4000000000000001E-2</v>
      </c>
      <c r="AV22" s="24">
        <v>8.5999999999999993E-2</v>
      </c>
      <c r="AW22">
        <v>7.9000000000000001E-2</v>
      </c>
      <c r="AX22">
        <v>5.2999999999999999E-2</v>
      </c>
      <c r="AY22" s="24">
        <v>0.41899999999999998</v>
      </c>
      <c r="AZ22" s="24">
        <v>0.20699999999999999</v>
      </c>
      <c r="BA22" s="24">
        <v>5.0999999999999997E-2</v>
      </c>
      <c r="BB22">
        <v>6.2E-2</v>
      </c>
      <c r="BC22">
        <v>7.4999999999999997E-2</v>
      </c>
      <c r="BD22" s="24">
        <v>0</v>
      </c>
      <c r="BE22">
        <v>0</v>
      </c>
    </row>
    <row r="23" spans="1:69" ht="15" customHeight="1">
      <c r="A23">
        <v>168917</v>
      </c>
      <c r="B23" t="s">
        <v>192</v>
      </c>
      <c r="D23" t="s">
        <v>223</v>
      </c>
      <c r="E23">
        <v>100</v>
      </c>
      <c r="F23" s="26">
        <v>4.4000000000000004</v>
      </c>
      <c r="G23" s="26">
        <v>1.92</v>
      </c>
      <c r="H23" s="26">
        <v>21.3</v>
      </c>
      <c r="I23" s="26">
        <v>0.76</v>
      </c>
      <c r="J23" s="26">
        <v>120</v>
      </c>
      <c r="K23" s="26">
        <v>0.87</v>
      </c>
      <c r="L23" s="26">
        <v>2.8</v>
      </c>
      <c r="M23" s="26">
        <v>1.49</v>
      </c>
      <c r="N23" s="26">
        <v>64</v>
      </c>
      <c r="O23" s="26">
        <v>152</v>
      </c>
      <c r="P23" s="26">
        <v>172</v>
      </c>
      <c r="Q23" s="26">
        <v>7</v>
      </c>
      <c r="R23" s="26">
        <v>1.0900000000000001</v>
      </c>
      <c r="S23" s="26">
        <v>0.192</v>
      </c>
      <c r="T23" s="26">
        <v>0.63100000000000001</v>
      </c>
      <c r="U23" s="26">
        <v>2.8</v>
      </c>
      <c r="V23" s="26">
        <v>0</v>
      </c>
      <c r="W23" s="26">
        <v>0</v>
      </c>
      <c r="X23" s="26">
        <v>0</v>
      </c>
      <c r="Y23" s="26">
        <v>0</v>
      </c>
      <c r="Z23" s="26">
        <v>53</v>
      </c>
      <c r="AA23" s="35">
        <v>0</v>
      </c>
      <c r="AB23" s="26">
        <v>0.107</v>
      </c>
      <c r="AC23" s="26">
        <v>0.11</v>
      </c>
      <c r="AD23" s="32">
        <v>0.41199999999999998</v>
      </c>
      <c r="AE23" s="26">
        <v>0</v>
      </c>
      <c r="AF23" s="26">
        <v>0.123</v>
      </c>
      <c r="AG23" s="35">
        <v>0</v>
      </c>
      <c r="AH23" s="26">
        <v>23</v>
      </c>
      <c r="AI23" s="38">
        <v>0</v>
      </c>
      <c r="AJ23" s="26">
        <v>17</v>
      </c>
      <c r="AK23" s="26">
        <v>42</v>
      </c>
      <c r="AL23" s="26">
        <v>0</v>
      </c>
      <c r="AM23" s="26">
        <v>5.1999999999999998E-2</v>
      </c>
      <c r="AN23" s="26">
        <v>0.13100000000000001</v>
      </c>
      <c r="AO23" s="26">
        <v>0.157</v>
      </c>
      <c r="AP23" s="26">
        <v>0.26100000000000001</v>
      </c>
      <c r="AQ23" s="26">
        <v>0.23899999999999999</v>
      </c>
      <c r="AR23" s="26">
        <v>9.6000000000000002E-2</v>
      </c>
      <c r="AS23" s="26">
        <v>6.3E-2</v>
      </c>
      <c r="AT23" s="26">
        <v>0.185</v>
      </c>
      <c r="AU23" s="26">
        <v>8.3000000000000004E-2</v>
      </c>
      <c r="AV23" s="26">
        <v>0.185</v>
      </c>
      <c r="AW23" s="32">
        <v>0.34</v>
      </c>
      <c r="AX23" s="32">
        <v>0</v>
      </c>
      <c r="AY23" s="26">
        <v>0.35299999999999998</v>
      </c>
      <c r="AZ23" s="26">
        <v>0.57999999999999996</v>
      </c>
      <c r="BA23" s="26">
        <v>0.216</v>
      </c>
      <c r="BB23" s="26">
        <v>0.24</v>
      </c>
      <c r="BC23" s="26">
        <v>0.17599999999999999</v>
      </c>
      <c r="BD23" s="26">
        <v>0</v>
      </c>
      <c r="BE23" s="26">
        <v>0.23100000000000001</v>
      </c>
      <c r="BF23" s="26"/>
    </row>
    <row r="24" spans="1:69" ht="15" customHeight="1">
      <c r="A24">
        <v>170457</v>
      </c>
      <c r="B24" t="s">
        <v>109</v>
      </c>
      <c r="C24" s="28" t="s">
        <v>88</v>
      </c>
      <c r="D24" t="s">
        <v>221</v>
      </c>
      <c r="E24">
        <v>180</v>
      </c>
      <c r="F24">
        <f>F31/2</f>
        <v>0.44</v>
      </c>
      <c r="G24" s="24">
        <v>0.2</v>
      </c>
      <c r="H24">
        <v>3.89</v>
      </c>
      <c r="I24" s="24">
        <v>0.5</v>
      </c>
      <c r="J24" s="24">
        <v>18</v>
      </c>
      <c r="K24" s="24">
        <v>2.63</v>
      </c>
      <c r="L24">
        <v>1.2</v>
      </c>
      <c r="M24" s="24">
        <v>2.7E-2</v>
      </c>
      <c r="N24" s="24">
        <v>11</v>
      </c>
      <c r="O24" s="24">
        <v>24</v>
      </c>
      <c r="P24" s="24">
        <v>237</v>
      </c>
      <c r="Q24" s="24">
        <v>5</v>
      </c>
      <c r="R24" s="24">
        <v>0.17</v>
      </c>
      <c r="S24" s="24">
        <v>5.8000000000000003E-2</v>
      </c>
      <c r="T24" s="24">
        <v>0.114</v>
      </c>
      <c r="U24" s="24">
        <v>0</v>
      </c>
      <c r="V24" s="24">
        <v>0</v>
      </c>
      <c r="W24" s="24">
        <v>0.54</v>
      </c>
      <c r="X24" s="24">
        <v>0</v>
      </c>
      <c r="Y24">
        <v>0</v>
      </c>
      <c r="Z24" s="24">
        <v>123</v>
      </c>
      <c r="AA24" s="24">
        <v>13.7</v>
      </c>
      <c r="AB24" s="24">
        <v>3.6999999999999998E-2</v>
      </c>
      <c r="AC24" s="24">
        <v>1.9E-2</v>
      </c>
      <c r="AD24">
        <v>0.59399999999999997</v>
      </c>
      <c r="AE24" s="24">
        <v>8.8999999999999996E-2</v>
      </c>
      <c r="AF24">
        <v>0.08</v>
      </c>
      <c r="AG24" s="24"/>
      <c r="AH24">
        <v>6.7</v>
      </c>
      <c r="AI24">
        <v>7.3</v>
      </c>
      <c r="AJ24">
        <v>10</v>
      </c>
      <c r="AK24">
        <v>15</v>
      </c>
      <c r="AL24">
        <v>0.1</v>
      </c>
      <c r="AM24" s="24">
        <v>6.0000000000000001E-3</v>
      </c>
      <c r="AN24" s="24">
        <v>2.7E-2</v>
      </c>
      <c r="AO24" s="24">
        <v>1.7999999999999999E-2</v>
      </c>
      <c r="AP24" s="24">
        <v>2.5000000000000001E-2</v>
      </c>
      <c r="AQ24" s="24">
        <v>2.7E-2</v>
      </c>
      <c r="AR24" s="24">
        <v>6.0000000000000001E-3</v>
      </c>
      <c r="AS24">
        <v>8.0000000000000002E-3</v>
      </c>
      <c r="AT24" s="24">
        <v>2.7E-2</v>
      </c>
      <c r="AU24" s="24">
        <v>1.4E-2</v>
      </c>
      <c r="AV24" s="24">
        <v>1.7999999999999999E-2</v>
      </c>
      <c r="AW24">
        <v>2.1000000000000001E-2</v>
      </c>
      <c r="AX24" s="24">
        <v>2.7E-2</v>
      </c>
      <c r="AY24" s="24">
        <v>0.13500000000000001</v>
      </c>
      <c r="AZ24" s="24">
        <v>4.3099999999999999E-2</v>
      </c>
      <c r="BA24" s="24">
        <v>1.9E-2</v>
      </c>
      <c r="BB24" s="24">
        <v>1.4999999999999999E-2</v>
      </c>
      <c r="BC24" s="24">
        <v>2.5999999999999999E-2</v>
      </c>
      <c r="BD24" s="24">
        <v>0</v>
      </c>
      <c r="BE24">
        <v>3.1E-2</v>
      </c>
    </row>
    <row r="25" spans="1:69" s="44" customFormat="1" ht="15.6">
      <c r="A25" s="98">
        <v>2345539</v>
      </c>
      <c r="B25" s="44" t="s">
        <v>312</v>
      </c>
      <c r="C25" s="50" t="s">
        <v>313</v>
      </c>
      <c r="D25" s="58"/>
      <c r="E25" s="98">
        <v>25</v>
      </c>
      <c r="F25" s="62">
        <v>2.81</v>
      </c>
      <c r="G25" s="46">
        <v>4.7</v>
      </c>
      <c r="H25" s="46">
        <v>12.09</v>
      </c>
      <c r="I25" s="46">
        <v>0</v>
      </c>
      <c r="J25" s="46">
        <v>96</v>
      </c>
      <c r="K25" s="46">
        <v>224</v>
      </c>
      <c r="L25" s="46">
        <v>8.5000000000000006E-2</v>
      </c>
      <c r="M25" s="46">
        <v>0</v>
      </c>
      <c r="N25" s="46">
        <v>0.8</v>
      </c>
      <c r="O25" s="46">
        <v>18</v>
      </c>
      <c r="P25" s="46">
        <v>0.87</v>
      </c>
      <c r="Q25" s="46">
        <v>0</v>
      </c>
      <c r="R25" s="46">
        <v>26</v>
      </c>
      <c r="S25" s="46">
        <v>936</v>
      </c>
      <c r="T25" s="46">
        <v>13.6</v>
      </c>
      <c r="U25" s="46">
        <v>0.125</v>
      </c>
      <c r="V25" s="46">
        <v>8.2000000000000003E-2</v>
      </c>
      <c r="W25" s="46">
        <v>1.2909999999999999</v>
      </c>
      <c r="X25" s="46">
        <v>0</v>
      </c>
      <c r="Y25" s="46">
        <v>0.14599999999999999</v>
      </c>
      <c r="Z25" s="46">
        <v>18.8</v>
      </c>
      <c r="AA25" s="46">
        <v>23.7</v>
      </c>
      <c r="AB25" s="46">
        <v>33</v>
      </c>
      <c r="AC25" s="46">
        <v>33</v>
      </c>
      <c r="AD25" s="46">
        <v>0</v>
      </c>
      <c r="AE25" s="46">
        <v>0</v>
      </c>
      <c r="AF25" s="46">
        <v>0</v>
      </c>
      <c r="AG25" s="46">
        <v>0</v>
      </c>
      <c r="AH25" s="46">
        <v>0</v>
      </c>
      <c r="AI25" s="46">
        <v>0</v>
      </c>
      <c r="AJ25" s="46">
        <v>0</v>
      </c>
      <c r="AK25" s="46">
        <v>0</v>
      </c>
      <c r="AL25" s="46">
        <v>0</v>
      </c>
      <c r="AM25" s="46">
        <v>0</v>
      </c>
      <c r="AN25" s="46">
        <v>0</v>
      </c>
      <c r="AO25" s="46">
        <v>0</v>
      </c>
      <c r="AP25" s="46">
        <v>0</v>
      </c>
      <c r="AQ25" s="46">
        <v>0</v>
      </c>
      <c r="AR25" s="46">
        <v>0</v>
      </c>
      <c r="AS25" s="46">
        <v>0</v>
      </c>
      <c r="AT25" s="46">
        <v>0</v>
      </c>
      <c r="AU25" s="46">
        <v>3</v>
      </c>
      <c r="AV25" s="46">
        <v>1.546</v>
      </c>
      <c r="AW25" s="44">
        <v>0</v>
      </c>
      <c r="AX25" s="44">
        <v>0</v>
      </c>
      <c r="AY25" s="44">
        <v>0</v>
      </c>
      <c r="AZ25" s="44">
        <v>0</v>
      </c>
      <c r="BA25" s="44">
        <v>0</v>
      </c>
      <c r="BB25" s="44">
        <v>0</v>
      </c>
      <c r="BC25" s="44">
        <v>0</v>
      </c>
      <c r="BD25" s="44">
        <v>0</v>
      </c>
      <c r="BE25" s="44">
        <v>0</v>
      </c>
    </row>
    <row r="26" spans="1:69" ht="15.6">
      <c r="A26">
        <v>172421</v>
      </c>
      <c r="B26" s="41" t="s">
        <v>335</v>
      </c>
      <c r="C26" s="50" t="s">
        <v>311</v>
      </c>
      <c r="D26" s="58" t="s">
        <v>221</v>
      </c>
      <c r="E26" s="98">
        <v>25</v>
      </c>
      <c r="F26" s="62">
        <v>1.1299999999999999</v>
      </c>
      <c r="G26" s="46">
        <v>0.05</v>
      </c>
      <c r="H26" s="46">
        <v>2.52</v>
      </c>
      <c r="I26" s="44">
        <v>0</v>
      </c>
      <c r="J26" s="46">
        <v>14.5</v>
      </c>
      <c r="K26" s="46">
        <v>0.25</v>
      </c>
      <c r="L26" s="46">
        <v>0.03</v>
      </c>
      <c r="M26" s="46">
        <v>0</v>
      </c>
      <c r="N26" s="46">
        <v>0.35</v>
      </c>
      <c r="O26" s="46">
        <v>0</v>
      </c>
      <c r="P26" s="46">
        <v>0.01</v>
      </c>
      <c r="Q26" s="46">
        <v>0</v>
      </c>
      <c r="R26" s="46">
        <v>0</v>
      </c>
      <c r="S26" s="46">
        <v>0</v>
      </c>
      <c r="T26" s="46">
        <v>0.19</v>
      </c>
      <c r="U26" s="46">
        <v>0.02</v>
      </c>
      <c r="V26" s="46">
        <v>0.01</v>
      </c>
      <c r="W26" s="46">
        <v>0.13</v>
      </c>
      <c r="X26" s="46">
        <v>0</v>
      </c>
      <c r="Y26" s="46">
        <v>0.02</v>
      </c>
      <c r="Z26" s="46">
        <v>4.09</v>
      </c>
      <c r="AA26" s="46">
        <v>0.21</v>
      </c>
      <c r="AB26" s="46">
        <v>22.63</v>
      </c>
      <c r="AC26" s="46">
        <v>0</v>
      </c>
      <c r="AD26" s="46">
        <v>0</v>
      </c>
      <c r="AE26" s="46">
        <v>0</v>
      </c>
      <c r="AF26" s="46">
        <v>0</v>
      </c>
      <c r="AG26" s="46">
        <v>0</v>
      </c>
      <c r="AH26" s="46">
        <v>0</v>
      </c>
      <c r="AI26" s="46">
        <v>0</v>
      </c>
      <c r="AJ26" s="46">
        <v>0</v>
      </c>
      <c r="AK26" s="46">
        <v>0</v>
      </c>
      <c r="AL26" s="46">
        <v>0</v>
      </c>
      <c r="AM26" s="46">
        <v>0</v>
      </c>
      <c r="AN26" s="46">
        <v>0</v>
      </c>
      <c r="AO26" s="46">
        <v>0</v>
      </c>
      <c r="AP26" s="46">
        <v>0</v>
      </c>
      <c r="AQ26" s="46">
        <v>0</v>
      </c>
      <c r="AR26" s="46">
        <v>0</v>
      </c>
      <c r="AS26" s="46">
        <v>0</v>
      </c>
      <c r="AT26" s="46">
        <v>0</v>
      </c>
      <c r="AU26" s="46">
        <v>0</v>
      </c>
      <c r="AV26" s="46">
        <v>0.01</v>
      </c>
      <c r="AW26" s="44"/>
    </row>
    <row r="27" spans="1:69">
      <c r="B27" t="s">
        <v>315</v>
      </c>
      <c r="F27" s="35">
        <f t="shared" ref="F27:AK27" si="12">SUM(F9:F26)/6</f>
        <v>14.604166666666666</v>
      </c>
      <c r="G27" s="35">
        <f t="shared" si="12"/>
        <v>8.4400000000000031</v>
      </c>
      <c r="H27" s="35">
        <f t="shared" si="12"/>
        <v>26.002499999999998</v>
      </c>
      <c r="I27" s="35">
        <f t="shared" si="12"/>
        <v>0.70166666666666666</v>
      </c>
      <c r="J27" s="35">
        <f t="shared" si="12"/>
        <v>279.91666666666669</v>
      </c>
      <c r="K27" s="35">
        <f t="shared" si="12"/>
        <v>42.335833333333333</v>
      </c>
      <c r="L27" s="35">
        <f t="shared" si="12"/>
        <v>3.1724999999999999</v>
      </c>
      <c r="M27" s="35">
        <f t="shared" si="12"/>
        <v>1.2261666666666666</v>
      </c>
      <c r="N27" s="35">
        <f t="shared" si="12"/>
        <v>40.94166666666667</v>
      </c>
      <c r="O27" s="35">
        <f t="shared" si="12"/>
        <v>154.36449999999999</v>
      </c>
      <c r="P27" s="35">
        <f t="shared" si="12"/>
        <v>385.36816666666664</v>
      </c>
      <c r="Q27" s="35">
        <f t="shared" si="12"/>
        <v>303.66666666666669</v>
      </c>
      <c r="R27" s="35">
        <f t="shared" si="12"/>
        <v>5.4475000000000007</v>
      </c>
      <c r="S27" s="35">
        <f t="shared" si="12"/>
        <v>156.16608333333332</v>
      </c>
      <c r="T27" s="35">
        <f t="shared" si="12"/>
        <v>2.5131666666666663</v>
      </c>
      <c r="U27" s="35">
        <f t="shared" si="12"/>
        <v>15.327499999999999</v>
      </c>
      <c r="V27" s="35">
        <f t="shared" si="12"/>
        <v>29.515333333333331</v>
      </c>
      <c r="W27" s="35">
        <f t="shared" si="12"/>
        <v>1.3176666666666665</v>
      </c>
      <c r="X27" s="35">
        <f t="shared" si="12"/>
        <v>14.5</v>
      </c>
      <c r="Y27" s="35">
        <f t="shared" si="12"/>
        <v>25.361000000000001</v>
      </c>
      <c r="Z27" s="35">
        <f t="shared" si="12"/>
        <v>626.89833333333343</v>
      </c>
      <c r="AA27" s="35">
        <f t="shared" si="12"/>
        <v>25.310000000000002</v>
      </c>
      <c r="AB27" s="35">
        <f t="shared" si="12"/>
        <v>9.4247500000000013</v>
      </c>
      <c r="AC27" s="35">
        <f t="shared" si="12"/>
        <v>5.7618333333333327</v>
      </c>
      <c r="AD27" s="35">
        <f t="shared" si="12"/>
        <v>4.0469166666666672</v>
      </c>
      <c r="AE27" s="35">
        <f t="shared" si="12"/>
        <v>0.40333333333333332</v>
      </c>
      <c r="AF27" s="35">
        <f t="shared" si="12"/>
        <v>0.38183333333333341</v>
      </c>
      <c r="AG27" s="35">
        <f t="shared" si="12"/>
        <v>0.24833333333333329</v>
      </c>
      <c r="AH27" s="35">
        <f t="shared" si="12"/>
        <v>93.116666666666674</v>
      </c>
      <c r="AI27" s="35">
        <f t="shared" si="12"/>
        <v>48.699999999999996</v>
      </c>
      <c r="AJ27" s="35">
        <f t="shared" si="12"/>
        <v>46.416666666666664</v>
      </c>
      <c r="AK27" s="35">
        <f t="shared" si="12"/>
        <v>59.75</v>
      </c>
      <c r="AL27" s="35">
        <f t="shared" ref="AL27:BE27" si="13">SUM(AL9:AL26)/6</f>
        <v>9.3333333333333338E-2</v>
      </c>
      <c r="AM27" s="35">
        <f t="shared" si="13"/>
        <v>5.0166666666666665E-2</v>
      </c>
      <c r="AN27" s="35">
        <f t="shared" si="13"/>
        <v>7.2666666666666671E-2</v>
      </c>
      <c r="AO27" s="35">
        <f t="shared" si="13"/>
        <v>0.18983333333333333</v>
      </c>
      <c r="AP27" s="35">
        <f t="shared" si="13"/>
        <v>0.31</v>
      </c>
      <c r="AQ27" s="35">
        <f t="shared" si="13"/>
        <v>0.26383333333333331</v>
      </c>
      <c r="AR27" s="35">
        <f t="shared" si="13"/>
        <v>0.14483333333333334</v>
      </c>
      <c r="AS27" s="35">
        <f t="shared" si="13"/>
        <v>0.10716666666666667</v>
      </c>
      <c r="AT27" s="35">
        <f t="shared" si="13"/>
        <v>0.1968333333333333</v>
      </c>
      <c r="AU27" s="35">
        <f t="shared" si="13"/>
        <v>0.64166666666666672</v>
      </c>
      <c r="AV27" s="35">
        <f t="shared" si="13"/>
        <v>0.4868333333333334</v>
      </c>
      <c r="AW27" s="35">
        <f t="shared" si="13"/>
        <v>0.247</v>
      </c>
      <c r="AX27" s="35">
        <f t="shared" si="13"/>
        <v>7.5333333333333335E-2</v>
      </c>
      <c r="AY27" s="35">
        <f t="shared" si="13"/>
        <v>0.43766666666666659</v>
      </c>
      <c r="AZ27" s="35">
        <f t="shared" si="13"/>
        <v>0.45484999999999998</v>
      </c>
      <c r="BA27" s="35">
        <f t="shared" si="13"/>
        <v>0.14983333333333335</v>
      </c>
      <c r="BB27" s="35">
        <f t="shared" si="13"/>
        <v>0.18766666666666665</v>
      </c>
      <c r="BC27" s="35">
        <f t="shared" si="13"/>
        <v>1.6715</v>
      </c>
      <c r="BD27" s="35">
        <f t="shared" si="13"/>
        <v>88.5</v>
      </c>
      <c r="BE27" s="35">
        <f t="shared" si="13"/>
        <v>2.3813333333333331</v>
      </c>
    </row>
    <row r="28" spans="1:69">
      <c r="F28">
        <v>14.6</v>
      </c>
      <c r="G28">
        <v>8.44</v>
      </c>
      <c r="H28">
        <v>26</v>
      </c>
      <c r="I28">
        <v>0.7</v>
      </c>
      <c r="J28">
        <v>279.92</v>
      </c>
      <c r="K28">
        <v>42.34</v>
      </c>
      <c r="L28">
        <v>3.17</v>
      </c>
      <c r="M28">
        <v>1.23</v>
      </c>
      <c r="N28">
        <v>40.94</v>
      </c>
      <c r="O28">
        <v>154.36000000000001</v>
      </c>
      <c r="P28">
        <v>385.37</v>
      </c>
      <c r="Q28">
        <v>303.67</v>
      </c>
      <c r="R28">
        <v>5.45</v>
      </c>
      <c r="S28">
        <v>156.16999999999999</v>
      </c>
      <c r="T28">
        <v>2.5099999999999998</v>
      </c>
      <c r="U28">
        <v>15.33</v>
      </c>
      <c r="V28">
        <v>29.52</v>
      </c>
      <c r="W28">
        <v>1.32</v>
      </c>
      <c r="X28">
        <v>14.5</v>
      </c>
      <c r="Y28">
        <v>25.36</v>
      </c>
      <c r="Z28">
        <v>626.9</v>
      </c>
      <c r="AA28">
        <v>25.31</v>
      </c>
      <c r="AB28">
        <v>9.42</v>
      </c>
      <c r="AC28">
        <v>5.76</v>
      </c>
      <c r="AD28">
        <v>4.05</v>
      </c>
      <c r="AE28">
        <v>0.4</v>
      </c>
      <c r="AF28">
        <v>0.38</v>
      </c>
      <c r="AG28">
        <v>0.25</v>
      </c>
      <c r="AH28">
        <v>93.12</v>
      </c>
      <c r="AI28">
        <v>48.7</v>
      </c>
      <c r="AJ28">
        <v>46.42</v>
      </c>
      <c r="AK28">
        <v>59.75</v>
      </c>
      <c r="AL28">
        <v>0.09</v>
      </c>
      <c r="AM28">
        <v>0.05</v>
      </c>
      <c r="AN28">
        <v>7.0000000000000007E-2</v>
      </c>
      <c r="AO28">
        <v>0.19</v>
      </c>
      <c r="AP28">
        <v>0.31</v>
      </c>
      <c r="AQ28">
        <v>0.26</v>
      </c>
      <c r="AR28">
        <v>0.14000000000000001</v>
      </c>
      <c r="AS28">
        <v>0.11</v>
      </c>
      <c r="AT28">
        <v>0.2</v>
      </c>
      <c r="AU28">
        <v>0.64</v>
      </c>
      <c r="AV28">
        <v>0.49</v>
      </c>
      <c r="AW28">
        <v>0.25</v>
      </c>
      <c r="AX28">
        <v>0.08</v>
      </c>
      <c r="AY28">
        <v>0.44</v>
      </c>
      <c r="AZ28">
        <v>0.45</v>
      </c>
      <c r="BA28">
        <v>0.15</v>
      </c>
      <c r="BB28">
        <v>0.19</v>
      </c>
      <c r="BC28">
        <v>1.67</v>
      </c>
      <c r="BD28">
        <v>88.5</v>
      </c>
      <c r="BE28">
        <v>2.38</v>
      </c>
    </row>
    <row r="29" spans="1:69" ht="15.6">
      <c r="A29">
        <v>172421</v>
      </c>
      <c r="B29" s="41" t="s">
        <v>335</v>
      </c>
      <c r="C29" s="50" t="s">
        <v>311</v>
      </c>
      <c r="D29" s="58" t="s">
        <v>221</v>
      </c>
      <c r="E29" s="98">
        <v>198</v>
      </c>
      <c r="F29" s="98">
        <v>198</v>
      </c>
      <c r="G29" s="62">
        <v>9.07</v>
      </c>
      <c r="H29" s="46">
        <v>0.38</v>
      </c>
      <c r="I29" s="46">
        <v>20.13</v>
      </c>
      <c r="J29" s="46">
        <v>0</v>
      </c>
      <c r="K29" s="46">
        <v>116</v>
      </c>
      <c r="L29" s="46">
        <v>1.8</v>
      </c>
      <c r="M29" s="46">
        <v>7.9</v>
      </c>
      <c r="N29" s="46">
        <v>3.33</v>
      </c>
      <c r="O29" s="46">
        <v>36</v>
      </c>
      <c r="P29" s="46">
        <v>180</v>
      </c>
      <c r="Q29" s="46">
        <v>369</v>
      </c>
      <c r="R29" s="46">
        <v>2</v>
      </c>
      <c r="S29" s="46">
        <v>1.27</v>
      </c>
      <c r="T29" s="46">
        <v>0.251</v>
      </c>
      <c r="U29" s="46">
        <v>0</v>
      </c>
      <c r="V29" s="46">
        <v>2.8</v>
      </c>
      <c r="W29" s="46">
        <v>0</v>
      </c>
      <c r="X29" s="46">
        <v>0.11</v>
      </c>
      <c r="Y29" s="46">
        <v>0</v>
      </c>
      <c r="Z29" s="46">
        <v>0</v>
      </c>
      <c r="AA29" s="46">
        <v>0</v>
      </c>
      <c r="AB29" s="46">
        <v>1.5</v>
      </c>
      <c r="AC29" s="46">
        <v>0.16900000000000001</v>
      </c>
      <c r="AD29" s="46">
        <v>7.0000000000000007E-2</v>
      </c>
      <c r="AE29" s="46">
        <v>1.06</v>
      </c>
      <c r="AF29" s="46">
        <v>0</v>
      </c>
      <c r="AG29" s="46">
        <v>0.17799999999999999</v>
      </c>
      <c r="AH29" s="46">
        <v>0</v>
      </c>
      <c r="AI29" s="46">
        <v>32.700000000000003</v>
      </c>
      <c r="AJ29" s="46">
        <v>1.7</v>
      </c>
      <c r="AK29" s="46">
        <v>181</v>
      </c>
      <c r="AL29" s="46">
        <v>0</v>
      </c>
      <c r="AM29" s="46">
        <v>0</v>
      </c>
      <c r="AN29" s="46">
        <v>0</v>
      </c>
      <c r="AO29" s="46">
        <v>0</v>
      </c>
      <c r="AP29" s="46">
        <v>0</v>
      </c>
      <c r="AQ29" s="46">
        <v>0</v>
      </c>
      <c r="AR29" s="46">
        <v>0</v>
      </c>
      <c r="AS29" s="46">
        <v>0</v>
      </c>
      <c r="AT29" s="46">
        <v>0</v>
      </c>
      <c r="AU29" s="46">
        <v>0</v>
      </c>
      <c r="AV29" s="46">
        <v>0</v>
      </c>
      <c r="AW29" s="46">
        <v>0</v>
      </c>
      <c r="AX29" s="46">
        <v>0</v>
      </c>
      <c r="AY29" s="46">
        <v>0</v>
      </c>
      <c r="AZ29" s="46">
        <v>0</v>
      </c>
      <c r="BA29" s="46">
        <v>0</v>
      </c>
      <c r="BB29" s="46">
        <v>0</v>
      </c>
      <c r="BC29" s="46">
        <v>0</v>
      </c>
      <c r="BD29" s="46">
        <v>0</v>
      </c>
      <c r="BE29" s="46">
        <v>0</v>
      </c>
      <c r="BF29" s="46">
        <v>0.06</v>
      </c>
    </row>
    <row r="30" spans="1:69" ht="15.6">
      <c r="B30" s="41"/>
      <c r="C30" s="50"/>
      <c r="D30" s="58"/>
      <c r="E30" s="44">
        <f t="shared" ref="E30:AJ30" si="14">E29/8</f>
        <v>24.75</v>
      </c>
      <c r="F30" s="44">
        <f t="shared" si="14"/>
        <v>24.75</v>
      </c>
      <c r="G30" s="44">
        <f t="shared" si="14"/>
        <v>1.13375</v>
      </c>
      <c r="H30" s="44">
        <f t="shared" si="14"/>
        <v>4.7500000000000001E-2</v>
      </c>
      <c r="I30" s="44">
        <f t="shared" si="14"/>
        <v>2.5162499999999999</v>
      </c>
      <c r="J30" s="44">
        <f t="shared" si="14"/>
        <v>0</v>
      </c>
      <c r="K30" s="44">
        <f t="shared" si="14"/>
        <v>14.5</v>
      </c>
      <c r="L30" s="44">
        <f t="shared" si="14"/>
        <v>0.22500000000000001</v>
      </c>
      <c r="M30" s="44">
        <f t="shared" si="14"/>
        <v>0.98750000000000004</v>
      </c>
      <c r="N30" s="44">
        <f t="shared" si="14"/>
        <v>0.41625000000000001</v>
      </c>
      <c r="O30" s="44">
        <f t="shared" si="14"/>
        <v>4.5</v>
      </c>
      <c r="P30" s="44">
        <f t="shared" si="14"/>
        <v>22.5</v>
      </c>
      <c r="Q30" s="44">
        <f t="shared" si="14"/>
        <v>46.125</v>
      </c>
      <c r="R30" s="44">
        <f t="shared" si="14"/>
        <v>0.25</v>
      </c>
      <c r="S30" s="44">
        <f t="shared" si="14"/>
        <v>0.15875</v>
      </c>
      <c r="T30" s="44">
        <f t="shared" si="14"/>
        <v>3.1375E-2</v>
      </c>
      <c r="U30" s="44">
        <f t="shared" si="14"/>
        <v>0</v>
      </c>
      <c r="V30" s="44">
        <f t="shared" si="14"/>
        <v>0.35</v>
      </c>
      <c r="W30" s="44">
        <f t="shared" si="14"/>
        <v>0</v>
      </c>
      <c r="X30" s="44">
        <f t="shared" si="14"/>
        <v>1.375E-2</v>
      </c>
      <c r="Y30" s="44">
        <f t="shared" si="14"/>
        <v>0</v>
      </c>
      <c r="Z30" s="44">
        <f t="shared" si="14"/>
        <v>0</v>
      </c>
      <c r="AA30" s="44">
        <f t="shared" si="14"/>
        <v>0</v>
      </c>
      <c r="AB30" s="44">
        <f t="shared" si="14"/>
        <v>0.1875</v>
      </c>
      <c r="AC30" s="44">
        <f t="shared" si="14"/>
        <v>2.1125000000000001E-2</v>
      </c>
      <c r="AD30" s="44">
        <f t="shared" si="14"/>
        <v>8.7500000000000008E-3</v>
      </c>
      <c r="AE30" s="44">
        <f t="shared" si="14"/>
        <v>0.13250000000000001</v>
      </c>
      <c r="AF30" s="44">
        <f t="shared" si="14"/>
        <v>0</v>
      </c>
      <c r="AG30" s="44">
        <f t="shared" si="14"/>
        <v>2.2249999999999999E-2</v>
      </c>
      <c r="AH30" s="44">
        <f t="shared" si="14"/>
        <v>0</v>
      </c>
      <c r="AI30" s="44">
        <f t="shared" si="14"/>
        <v>4.0875000000000004</v>
      </c>
      <c r="AJ30" s="44">
        <f t="shared" si="14"/>
        <v>0.21249999999999999</v>
      </c>
      <c r="AK30" s="44">
        <f t="shared" ref="AK30:BP30" si="15">AK29/8</f>
        <v>22.625</v>
      </c>
      <c r="AL30" s="44">
        <f t="shared" si="15"/>
        <v>0</v>
      </c>
      <c r="AM30" s="44">
        <f t="shared" si="15"/>
        <v>0</v>
      </c>
      <c r="AN30" s="44">
        <f t="shared" si="15"/>
        <v>0</v>
      </c>
      <c r="AO30" s="44">
        <f t="shared" si="15"/>
        <v>0</v>
      </c>
      <c r="AP30" s="44">
        <f t="shared" si="15"/>
        <v>0</v>
      </c>
      <c r="AQ30" s="44">
        <f t="shared" si="15"/>
        <v>0</v>
      </c>
      <c r="AR30" s="44">
        <f t="shared" si="15"/>
        <v>0</v>
      </c>
      <c r="AS30" s="44">
        <f t="shared" si="15"/>
        <v>0</v>
      </c>
      <c r="AT30" s="44">
        <f t="shared" si="15"/>
        <v>0</v>
      </c>
      <c r="AU30" s="44">
        <f t="shared" si="15"/>
        <v>0</v>
      </c>
      <c r="AV30" s="44">
        <f t="shared" si="15"/>
        <v>0</v>
      </c>
      <c r="AW30" s="98">
        <f t="shared" si="15"/>
        <v>0</v>
      </c>
      <c r="AX30" s="98">
        <f t="shared" si="15"/>
        <v>0</v>
      </c>
      <c r="AY30" s="98">
        <f t="shared" si="15"/>
        <v>0</v>
      </c>
      <c r="AZ30" s="98">
        <f t="shared" si="15"/>
        <v>0</v>
      </c>
      <c r="BA30" s="98">
        <f t="shared" si="15"/>
        <v>0</v>
      </c>
      <c r="BB30" s="98">
        <f t="shared" si="15"/>
        <v>0</v>
      </c>
      <c r="BC30" s="98">
        <f t="shared" si="15"/>
        <v>0</v>
      </c>
      <c r="BD30" s="98">
        <f t="shared" si="15"/>
        <v>0</v>
      </c>
      <c r="BE30" s="98">
        <f t="shared" si="15"/>
        <v>0</v>
      </c>
      <c r="BF30" s="98">
        <f t="shared" si="15"/>
        <v>7.4999999999999997E-3</v>
      </c>
      <c r="BG30" s="98">
        <f t="shared" si="15"/>
        <v>0</v>
      </c>
      <c r="BH30" s="98">
        <f t="shared" si="15"/>
        <v>0</v>
      </c>
      <c r="BI30" s="98">
        <f t="shared" si="15"/>
        <v>0</v>
      </c>
      <c r="BJ30" s="98">
        <f t="shared" si="15"/>
        <v>0</v>
      </c>
      <c r="BK30" s="98">
        <f t="shared" si="15"/>
        <v>0</v>
      </c>
      <c r="BL30" s="98">
        <f t="shared" si="15"/>
        <v>0</v>
      </c>
      <c r="BM30" s="98">
        <f t="shared" si="15"/>
        <v>0</v>
      </c>
      <c r="BN30" s="98">
        <f t="shared" si="15"/>
        <v>0</v>
      </c>
      <c r="BO30" s="98">
        <f t="shared" si="15"/>
        <v>0</v>
      </c>
      <c r="BP30" s="98">
        <f t="shared" si="15"/>
        <v>0</v>
      </c>
    </row>
    <row r="31" spans="1:69" ht="15" customHeight="1">
      <c r="A31">
        <v>170457</v>
      </c>
      <c r="B31" t="s">
        <v>109</v>
      </c>
      <c r="C31" s="28" t="s">
        <v>88</v>
      </c>
      <c r="D31" t="s">
        <v>221</v>
      </c>
      <c r="E31">
        <v>180</v>
      </c>
      <c r="F31">
        <v>0.88</v>
      </c>
      <c r="G31" s="24">
        <v>0.2</v>
      </c>
      <c r="H31">
        <v>3.89</v>
      </c>
      <c r="I31" s="24">
        <v>0.5</v>
      </c>
      <c r="J31" s="24">
        <v>18</v>
      </c>
      <c r="K31" s="24">
        <v>0</v>
      </c>
      <c r="L31" s="24">
        <v>0</v>
      </c>
      <c r="M31" s="24">
        <v>1.25</v>
      </c>
      <c r="N31" s="24">
        <v>0</v>
      </c>
      <c r="O31" s="24">
        <v>0</v>
      </c>
      <c r="P31" s="24">
        <v>71</v>
      </c>
      <c r="Q31" s="24">
        <v>2.63</v>
      </c>
      <c r="R31" s="24">
        <v>0</v>
      </c>
      <c r="S31">
        <v>1.2</v>
      </c>
      <c r="T31" s="24">
        <v>2.7E-2</v>
      </c>
      <c r="U31" s="24">
        <v>11</v>
      </c>
      <c r="V31" s="24">
        <v>24</v>
      </c>
      <c r="W31" s="24">
        <v>237</v>
      </c>
      <c r="X31" s="24">
        <v>5</v>
      </c>
      <c r="Y31" s="24">
        <v>0.17</v>
      </c>
      <c r="Z31" s="24">
        <v>5.8000000000000003E-2</v>
      </c>
      <c r="AA31" s="24">
        <v>0.114</v>
      </c>
      <c r="AB31" s="24">
        <v>0</v>
      </c>
      <c r="AC31" s="24">
        <v>0</v>
      </c>
      <c r="AD31" s="24">
        <v>0.54</v>
      </c>
      <c r="AE31" s="24">
        <v>0</v>
      </c>
      <c r="AF31">
        <v>0</v>
      </c>
      <c r="AG31" s="24">
        <v>2573</v>
      </c>
      <c r="AH31" s="24">
        <v>123</v>
      </c>
      <c r="AI31" s="24">
        <v>13.7</v>
      </c>
      <c r="AJ31" s="24">
        <v>3.6999999999999998E-2</v>
      </c>
      <c r="AK31" s="24">
        <v>1.9E-2</v>
      </c>
      <c r="AL31">
        <v>0.59399999999999997</v>
      </c>
      <c r="AM31" s="24">
        <v>8.8999999999999996E-2</v>
      </c>
      <c r="AN31">
        <v>0.08</v>
      </c>
      <c r="AO31" s="24"/>
      <c r="AP31">
        <v>6.7</v>
      </c>
      <c r="AQ31">
        <v>7.3</v>
      </c>
      <c r="AR31">
        <v>0</v>
      </c>
      <c r="AS31">
        <v>10</v>
      </c>
      <c r="AT31">
        <v>15</v>
      </c>
      <c r="AU31">
        <v>0.1</v>
      </c>
      <c r="AV31" s="24">
        <v>6.0000000000000001E-3</v>
      </c>
      <c r="AW31" s="24">
        <v>2.7E-2</v>
      </c>
      <c r="AX31" s="24">
        <v>1.7999999999999999E-2</v>
      </c>
      <c r="AY31" s="24">
        <v>2.5000000000000001E-2</v>
      </c>
      <c r="AZ31" s="24">
        <v>2.7E-2</v>
      </c>
      <c r="BA31" s="24">
        <v>6.0000000000000001E-3</v>
      </c>
      <c r="BB31">
        <v>8.0000000000000002E-3</v>
      </c>
      <c r="BC31" s="24">
        <v>2.7E-2</v>
      </c>
      <c r="BD31" s="24">
        <v>1.4E-2</v>
      </c>
      <c r="BE31" s="24">
        <v>1.7999999999999999E-2</v>
      </c>
      <c r="BF31">
        <v>2.1000000000000001E-2</v>
      </c>
      <c r="BG31" s="24">
        <v>1.4E-2</v>
      </c>
      <c r="BH31" s="24">
        <v>2.7E-2</v>
      </c>
      <c r="BI31" s="24">
        <v>0.13500000000000001</v>
      </c>
      <c r="BJ31" s="24">
        <v>4.3099999999999999E-2</v>
      </c>
      <c r="BK31" s="24">
        <v>1.9E-2</v>
      </c>
      <c r="BL31" s="24">
        <v>1.4999999999999999E-2</v>
      </c>
      <c r="BM31" s="24">
        <v>2.5999999999999999E-2</v>
      </c>
      <c r="BN31" s="24">
        <v>0</v>
      </c>
      <c r="BO31" s="24">
        <v>0</v>
      </c>
      <c r="BP31">
        <v>3.1E-2</v>
      </c>
    </row>
    <row r="32" spans="1:69" ht="15" customHeight="1">
      <c r="A32">
        <v>790646</v>
      </c>
      <c r="B32" t="s">
        <v>267</v>
      </c>
      <c r="D32" s="14"/>
      <c r="E32" s="14">
        <v>140</v>
      </c>
      <c r="F32" s="32">
        <v>0.83</v>
      </c>
      <c r="G32" s="26">
        <v>0.05</v>
      </c>
      <c r="H32" s="26">
        <v>8.61</v>
      </c>
      <c r="I32" s="32">
        <v>0</v>
      </c>
      <c r="J32" s="26">
        <v>38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5.82</v>
      </c>
      <c r="R32" s="26">
        <v>0</v>
      </c>
      <c r="S32" s="26">
        <v>1.9</v>
      </c>
      <c r="T32" s="26">
        <v>0.28000000000000003</v>
      </c>
      <c r="U32" s="26">
        <v>9</v>
      </c>
      <c r="V32" s="26">
        <v>34</v>
      </c>
      <c r="W32" s="26">
        <v>182</v>
      </c>
      <c r="X32" s="26">
        <v>1</v>
      </c>
      <c r="Y32" s="26">
        <v>0.2</v>
      </c>
      <c r="Z32" s="26">
        <v>3.5000000000000003E-2</v>
      </c>
      <c r="AA32" s="26">
        <v>0</v>
      </c>
      <c r="AB32" s="26">
        <v>0</v>
      </c>
      <c r="AC32" s="26">
        <v>0</v>
      </c>
      <c r="AD32" s="26">
        <v>0.02</v>
      </c>
      <c r="AE32" s="26">
        <v>0</v>
      </c>
      <c r="AF32" s="26">
        <v>0</v>
      </c>
      <c r="AG32" s="26">
        <v>0</v>
      </c>
      <c r="AH32" s="26">
        <v>4</v>
      </c>
      <c r="AI32" s="26">
        <v>8.1999999999999993</v>
      </c>
      <c r="AJ32" s="26">
        <v>4.5999999999999999E-2</v>
      </c>
      <c r="AK32" s="26">
        <v>2.7E-2</v>
      </c>
      <c r="AL32" s="26">
        <v>0.11600000000000001</v>
      </c>
      <c r="AM32" s="26">
        <v>0</v>
      </c>
      <c r="AN32" s="26">
        <v>0.12</v>
      </c>
      <c r="AO32" s="26">
        <v>0</v>
      </c>
      <c r="AP32" s="26">
        <v>6.1</v>
      </c>
      <c r="AQ32" s="26">
        <v>0.4</v>
      </c>
      <c r="AR32" s="26">
        <v>0</v>
      </c>
      <c r="AS32" s="26">
        <v>19</v>
      </c>
      <c r="AT32" s="26">
        <v>19</v>
      </c>
      <c r="AU32" s="26">
        <v>0</v>
      </c>
      <c r="AV32" s="26">
        <v>0</v>
      </c>
      <c r="AW32" s="26">
        <v>0</v>
      </c>
      <c r="AX32" s="26">
        <v>0</v>
      </c>
      <c r="AY32" s="26">
        <v>0</v>
      </c>
      <c r="AZ32" s="26">
        <v>0</v>
      </c>
      <c r="BA32" s="26">
        <v>0</v>
      </c>
      <c r="BB32" s="26">
        <v>0</v>
      </c>
      <c r="BC32" s="26">
        <v>0</v>
      </c>
      <c r="BD32" s="26">
        <v>0</v>
      </c>
      <c r="BE32" s="26">
        <v>0</v>
      </c>
      <c r="BF32" s="26">
        <v>0</v>
      </c>
      <c r="BG32" s="26">
        <v>0</v>
      </c>
      <c r="BH32" s="26">
        <v>0</v>
      </c>
      <c r="BI32" s="26">
        <v>0</v>
      </c>
      <c r="BJ32" s="26">
        <v>0</v>
      </c>
      <c r="BK32" s="26">
        <v>0</v>
      </c>
      <c r="BL32" s="26">
        <v>0</v>
      </c>
      <c r="BM32" s="26">
        <v>0</v>
      </c>
      <c r="BN32" s="26">
        <v>0</v>
      </c>
      <c r="BO32" s="26">
        <v>0</v>
      </c>
      <c r="BP32" s="26">
        <v>1.2999999999999999E-2</v>
      </c>
      <c r="BQ32" s="26"/>
    </row>
    <row r="33" spans="1:69" ht="15" customHeight="1">
      <c r="A33" s="24">
        <v>790018</v>
      </c>
      <c r="B33" t="s">
        <v>210</v>
      </c>
      <c r="C33" s="28"/>
      <c r="D33" s="41" t="s">
        <v>221</v>
      </c>
      <c r="E33" s="24"/>
      <c r="F33" s="26">
        <v>12</v>
      </c>
      <c r="G33" s="26">
        <v>1.7</v>
      </c>
      <c r="H33" s="26">
        <v>74.599999999999994</v>
      </c>
      <c r="I33" s="32">
        <v>0</v>
      </c>
      <c r="J33" s="26">
        <v>362</v>
      </c>
      <c r="K33" s="26">
        <v>0</v>
      </c>
      <c r="L33" s="26">
        <v>0</v>
      </c>
      <c r="M33" s="26">
        <v>0</v>
      </c>
      <c r="N33" s="26">
        <v>0</v>
      </c>
      <c r="O33" s="32">
        <v>0</v>
      </c>
      <c r="P33" s="26">
        <v>0</v>
      </c>
      <c r="Q33" s="26">
        <v>0.27</v>
      </c>
      <c r="R33" s="32">
        <v>0</v>
      </c>
      <c r="S33" s="26">
        <v>3</v>
      </c>
      <c r="T33" s="26">
        <v>1.1000000000000001</v>
      </c>
      <c r="U33" s="26">
        <v>36</v>
      </c>
      <c r="V33" s="26">
        <v>134</v>
      </c>
      <c r="W33" s="26">
        <v>150</v>
      </c>
      <c r="X33" s="26">
        <v>2</v>
      </c>
      <c r="Y33" s="26">
        <v>1.1499999999999999</v>
      </c>
      <c r="Z33" s="26">
        <v>0.21199999999999999</v>
      </c>
      <c r="AA33" s="26">
        <v>0</v>
      </c>
      <c r="AB33" s="26">
        <v>20.100000000000001</v>
      </c>
      <c r="AC33" s="26">
        <v>0</v>
      </c>
      <c r="AD33" s="26">
        <v>0.06</v>
      </c>
      <c r="AE33" s="26">
        <v>0</v>
      </c>
      <c r="AF33" s="26">
        <v>0</v>
      </c>
      <c r="AG33" s="26">
        <v>0</v>
      </c>
      <c r="AH33" s="26">
        <v>10</v>
      </c>
      <c r="AI33" s="26">
        <v>0</v>
      </c>
      <c r="AJ33" s="26">
        <v>0.29799999999999999</v>
      </c>
      <c r="AK33" s="26">
        <v>0</v>
      </c>
      <c r="AL33" s="32">
        <v>1.59</v>
      </c>
      <c r="AM33" s="26">
        <v>0</v>
      </c>
      <c r="AN33" s="32">
        <v>8.5000000000000006E-2</v>
      </c>
      <c r="AO33" s="26">
        <v>0</v>
      </c>
      <c r="AP33" s="26">
        <v>10.4</v>
      </c>
      <c r="AQ33" s="26">
        <v>0.3</v>
      </c>
      <c r="AR33" s="26">
        <v>0</v>
      </c>
      <c r="AS33" s="26">
        <v>23</v>
      </c>
      <c r="AT33" s="26">
        <v>23</v>
      </c>
      <c r="AU33" s="26">
        <v>0</v>
      </c>
      <c r="AV33" s="26">
        <v>0</v>
      </c>
      <c r="AW33" s="26">
        <v>0</v>
      </c>
      <c r="AX33" s="26">
        <v>0</v>
      </c>
      <c r="AY33" s="26">
        <v>0</v>
      </c>
      <c r="AZ33" s="26">
        <v>0</v>
      </c>
      <c r="BA33" s="26">
        <v>0</v>
      </c>
      <c r="BB33" s="26">
        <v>0</v>
      </c>
      <c r="BC33" s="26">
        <v>0</v>
      </c>
      <c r="BD33" s="26">
        <v>0</v>
      </c>
      <c r="BE33" s="26">
        <v>0</v>
      </c>
      <c r="BF33" s="26">
        <v>0</v>
      </c>
      <c r="BG33" s="26">
        <v>0</v>
      </c>
      <c r="BH33" s="32">
        <v>0</v>
      </c>
      <c r="BI33" s="26">
        <v>0</v>
      </c>
      <c r="BJ33" s="26">
        <v>0</v>
      </c>
      <c r="BK33" s="32">
        <v>0</v>
      </c>
      <c r="BL33" s="32">
        <v>0</v>
      </c>
      <c r="BM33" s="32">
        <v>0</v>
      </c>
      <c r="BN33" s="26">
        <v>0</v>
      </c>
      <c r="BO33" s="26">
        <v>0</v>
      </c>
      <c r="BP33" s="26">
        <v>8.6999999999999994E-2</v>
      </c>
      <c r="BQ33" s="26"/>
    </row>
    <row r="34" spans="1:69" ht="15" customHeight="1">
      <c r="A34" s="17">
        <v>2709881</v>
      </c>
      <c r="B34" s="12" t="s">
        <v>255</v>
      </c>
      <c r="C34" s="27"/>
      <c r="D34" s="11" t="s">
        <v>221</v>
      </c>
      <c r="E34" s="5"/>
      <c r="F34" s="23">
        <v>3.64</v>
      </c>
      <c r="G34" s="23">
        <v>0.39</v>
      </c>
      <c r="H34" s="32">
        <v>0.32</v>
      </c>
      <c r="I34" s="23">
        <v>0</v>
      </c>
      <c r="J34" s="33">
        <v>42</v>
      </c>
      <c r="K34" s="26">
        <v>0</v>
      </c>
      <c r="L34" s="26">
        <v>0</v>
      </c>
      <c r="M34" s="22">
        <v>0</v>
      </c>
      <c r="N34" s="22">
        <v>0</v>
      </c>
      <c r="O34" s="22">
        <v>0</v>
      </c>
      <c r="P34" s="22">
        <v>0</v>
      </c>
      <c r="Q34" s="22">
        <v>2.08</v>
      </c>
      <c r="R34" s="23">
        <v>0</v>
      </c>
      <c r="S34" s="23">
        <v>4.0999999999999996</v>
      </c>
      <c r="T34" s="23">
        <v>0.48</v>
      </c>
      <c r="U34" s="23">
        <v>18</v>
      </c>
      <c r="V34" s="23">
        <v>66</v>
      </c>
      <c r="W34" s="33">
        <v>290</v>
      </c>
      <c r="X34" s="33">
        <v>15</v>
      </c>
      <c r="Y34" s="33">
        <v>0.24</v>
      </c>
      <c r="Z34" s="23">
        <v>3.4000000000000002E-2</v>
      </c>
      <c r="AA34" s="23">
        <v>0</v>
      </c>
      <c r="AB34" s="33">
        <v>0.6</v>
      </c>
      <c r="AC34" s="33">
        <v>0</v>
      </c>
      <c r="AD34" s="33">
        <v>0.51</v>
      </c>
      <c r="AE34" s="33">
        <v>0</v>
      </c>
      <c r="AF34" s="33">
        <v>0</v>
      </c>
      <c r="AG34" s="33">
        <v>0</v>
      </c>
      <c r="AH34" s="33">
        <v>1541</v>
      </c>
      <c r="AI34" s="33">
        <v>45.7</v>
      </c>
      <c r="AJ34" s="33">
        <v>0.10299999999999999</v>
      </c>
      <c r="AK34" s="33">
        <v>0.113</v>
      </c>
      <c r="AL34" s="33">
        <v>0.53700000000000003</v>
      </c>
      <c r="AM34" s="33">
        <v>0</v>
      </c>
      <c r="AN34" s="23">
        <v>0.28899999999999998</v>
      </c>
      <c r="AO34" s="23">
        <v>0</v>
      </c>
      <c r="AP34" s="23">
        <v>18.100000000000001</v>
      </c>
      <c r="AQ34" s="33">
        <v>193.5</v>
      </c>
      <c r="AR34" s="33">
        <v>0</v>
      </c>
      <c r="AS34" s="33">
        <v>101</v>
      </c>
      <c r="AT34" s="33">
        <v>101</v>
      </c>
      <c r="AU34" s="33">
        <v>0</v>
      </c>
      <c r="AV34" s="33">
        <v>0</v>
      </c>
      <c r="AW34" s="33">
        <v>0</v>
      </c>
      <c r="AX34" s="23">
        <v>0</v>
      </c>
      <c r="AY34" s="23">
        <v>0</v>
      </c>
      <c r="AZ34" s="23">
        <v>0</v>
      </c>
      <c r="BA34" s="33">
        <v>0</v>
      </c>
      <c r="BB34" s="33">
        <v>0</v>
      </c>
      <c r="BC34" s="33">
        <v>0</v>
      </c>
      <c r="BD34" s="33">
        <v>0</v>
      </c>
      <c r="BE34" s="33">
        <v>0</v>
      </c>
      <c r="BF34" s="33">
        <v>0</v>
      </c>
      <c r="BG34" s="33">
        <v>0</v>
      </c>
      <c r="BH34" s="33">
        <v>0</v>
      </c>
      <c r="BI34" s="33">
        <v>0</v>
      </c>
      <c r="BJ34" s="33">
        <v>0</v>
      </c>
      <c r="BK34" s="33">
        <v>0</v>
      </c>
      <c r="BL34" s="33">
        <v>0</v>
      </c>
      <c r="BM34" s="33">
        <v>0</v>
      </c>
      <c r="BN34" s="33">
        <v>0</v>
      </c>
      <c r="BO34" s="23">
        <v>0</v>
      </c>
      <c r="BP34" s="23">
        <v>0.03</v>
      </c>
      <c r="BQ34" s="23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R22"/>
  <sheetViews>
    <sheetView tabSelected="1" workbookViewId="0">
      <selection activeCell="A7" sqref="A7"/>
    </sheetView>
  </sheetViews>
  <sheetFormatPr defaultRowHeight="12.6"/>
  <cols>
    <col min="2" max="2" width="19.6640625" customWidth="1"/>
    <col min="6" max="6" width="10.5546875" bestFit="1" customWidth="1"/>
    <col min="7" max="7" width="11.5546875" bestFit="1" customWidth="1"/>
    <col min="8" max="9" width="10.5546875" bestFit="1" customWidth="1"/>
    <col min="10" max="10" width="12.5546875" bestFit="1" customWidth="1"/>
    <col min="11" max="15" width="10.5546875" bestFit="1" customWidth="1"/>
    <col min="16" max="16" width="11.44140625" bestFit="1" customWidth="1"/>
    <col min="17" max="17" width="12.5546875" bestFit="1" customWidth="1"/>
    <col min="18" max="21" width="10.5546875" bestFit="1" customWidth="1"/>
    <col min="22" max="22" width="12.5546875" bestFit="1" customWidth="1"/>
    <col min="23" max="55" width="10.5546875" bestFit="1" customWidth="1"/>
    <col min="56" max="57" width="11.5546875" bestFit="1" customWidth="1"/>
  </cols>
  <sheetData>
    <row r="1" spans="1:70" s="49" customFormat="1" ht="66.75" customHeight="1">
      <c r="A1" s="115" t="s">
        <v>0</v>
      </c>
      <c r="B1" s="126" t="s">
        <v>361</v>
      </c>
      <c r="C1" s="169" t="s">
        <v>77</v>
      </c>
      <c r="D1" s="47" t="s">
        <v>86</v>
      </c>
      <c r="E1" s="48" t="s">
        <v>76</v>
      </c>
      <c r="F1" s="106" t="s">
        <v>208</v>
      </c>
      <c r="G1" s="49" t="s">
        <v>11</v>
      </c>
      <c r="H1" s="49" t="s">
        <v>56</v>
      </c>
      <c r="I1" s="49" t="s">
        <v>248</v>
      </c>
      <c r="J1" s="49" t="s">
        <v>10</v>
      </c>
      <c r="K1" s="49" t="s">
        <v>73</v>
      </c>
      <c r="L1" s="49" t="s">
        <v>7</v>
      </c>
      <c r="M1" s="49" t="s">
        <v>21</v>
      </c>
      <c r="N1" s="49" t="s">
        <v>24</v>
      </c>
      <c r="O1" s="49" t="s">
        <v>20</v>
      </c>
      <c r="P1" s="49" t="s">
        <v>29</v>
      </c>
      <c r="Q1" s="49" t="s">
        <v>36</v>
      </c>
      <c r="R1" s="49" t="s">
        <v>13</v>
      </c>
      <c r="S1" s="49" t="s">
        <v>33</v>
      </c>
      <c r="T1" s="49" t="s">
        <v>14</v>
      </c>
      <c r="U1" s="49" t="s">
        <v>59</v>
      </c>
      <c r="V1" s="49" t="s">
        <v>52</v>
      </c>
      <c r="W1" s="49" t="s">
        <v>39</v>
      </c>
      <c r="X1" s="49" t="s">
        <v>16</v>
      </c>
      <c r="Y1" s="49" t="s">
        <v>31</v>
      </c>
      <c r="Z1" s="49" t="s">
        <v>17</v>
      </c>
      <c r="AA1" s="49" t="s">
        <v>60</v>
      </c>
      <c r="AB1" s="49" t="s">
        <v>5</v>
      </c>
      <c r="AC1" s="49" t="s">
        <v>55</v>
      </c>
      <c r="AD1" s="49" t="s">
        <v>44</v>
      </c>
      <c r="AE1" s="49" t="s">
        <v>18</v>
      </c>
      <c r="AF1" s="49" t="s">
        <v>46</v>
      </c>
      <c r="AG1" s="49" t="s">
        <v>58</v>
      </c>
      <c r="AH1" s="49" t="s">
        <v>34</v>
      </c>
      <c r="AI1" s="49" t="s">
        <v>28</v>
      </c>
      <c r="AJ1" s="49" t="s">
        <v>40</v>
      </c>
      <c r="AK1" s="49" t="s">
        <v>47</v>
      </c>
      <c r="AL1" s="49" t="s">
        <v>22</v>
      </c>
      <c r="AM1" s="49" t="s">
        <v>71</v>
      </c>
      <c r="AN1" s="49" t="s">
        <v>43</v>
      </c>
      <c r="AO1" s="49" t="s">
        <v>48</v>
      </c>
      <c r="AP1" s="49" t="s">
        <v>68</v>
      </c>
      <c r="AQ1" s="49" t="s">
        <v>12</v>
      </c>
      <c r="AR1" s="49" t="s">
        <v>62</v>
      </c>
      <c r="AS1" s="49" t="s">
        <v>61</v>
      </c>
      <c r="AT1" s="49" t="s">
        <v>51</v>
      </c>
      <c r="AU1" s="49" t="s">
        <v>8</v>
      </c>
      <c r="AV1" s="49" t="s">
        <v>64</v>
      </c>
      <c r="AW1" s="49" t="s">
        <v>26</v>
      </c>
      <c r="AX1" s="49" t="s">
        <v>67</v>
      </c>
      <c r="AY1" s="49" t="s">
        <v>57</v>
      </c>
      <c r="AZ1" s="49" t="s">
        <v>54</v>
      </c>
      <c r="BA1" s="49" t="s">
        <v>37</v>
      </c>
      <c r="BB1" s="49" t="s">
        <v>65</v>
      </c>
      <c r="BC1" s="49" t="s">
        <v>27</v>
      </c>
      <c r="BD1" s="49" t="s">
        <v>50</v>
      </c>
      <c r="BE1" s="49" t="s">
        <v>69</v>
      </c>
      <c r="BF1" s="49" t="s">
        <v>4</v>
      </c>
    </row>
    <row r="2" spans="1:70" s="51" customFormat="1" ht="31.5" customHeight="1">
      <c r="A2" s="153" t="s">
        <v>372</v>
      </c>
      <c r="B2" s="129" t="s">
        <v>360</v>
      </c>
      <c r="C2" s="169"/>
      <c r="D2" s="50"/>
      <c r="E2" s="50"/>
      <c r="F2" s="107"/>
      <c r="G2" s="51" t="s">
        <v>123</v>
      </c>
      <c r="H2" s="51" t="s">
        <v>124</v>
      </c>
      <c r="I2" s="51" t="s">
        <v>125</v>
      </c>
      <c r="J2" s="51" t="s">
        <v>128</v>
      </c>
      <c r="K2" s="51" t="s">
        <v>141</v>
      </c>
      <c r="L2" s="51" t="s">
        <v>173</v>
      </c>
      <c r="M2" s="51" t="s">
        <v>126</v>
      </c>
      <c r="N2" s="51" t="s">
        <v>150</v>
      </c>
      <c r="O2" s="51" t="s">
        <v>156</v>
      </c>
      <c r="P2" s="51" t="s">
        <v>163</v>
      </c>
      <c r="Q2" s="51" t="s">
        <v>164</v>
      </c>
      <c r="R2" s="51" t="s">
        <v>170</v>
      </c>
      <c r="S2" s="51" t="s">
        <v>189</v>
      </c>
      <c r="T2" s="51" t="s">
        <v>137</v>
      </c>
      <c r="U2" s="51" t="s">
        <v>158</v>
      </c>
      <c r="V2" s="51" t="s">
        <v>168</v>
      </c>
      <c r="W2" s="51" t="s">
        <v>166</v>
      </c>
      <c r="X2" s="51" t="s">
        <v>187</v>
      </c>
      <c r="Y2" s="51" t="s">
        <v>185</v>
      </c>
      <c r="Z2" s="51" t="s">
        <v>138</v>
      </c>
      <c r="AA2" s="51" t="s">
        <v>153</v>
      </c>
      <c r="AB2" s="51" t="s">
        <v>184</v>
      </c>
      <c r="AC2" s="51" t="s">
        <v>175</v>
      </c>
      <c r="AD2" s="51" t="s">
        <v>167</v>
      </c>
      <c r="AE2" s="51" t="s">
        <v>160</v>
      </c>
      <c r="AF2" s="51" t="s">
        <v>161</v>
      </c>
      <c r="AG2" s="51" t="s">
        <v>183</v>
      </c>
      <c r="AH2" s="51" t="s">
        <v>182</v>
      </c>
      <c r="AI2" s="51" t="s">
        <v>136</v>
      </c>
      <c r="AJ2" s="51" t="s">
        <v>188</v>
      </c>
      <c r="AK2" s="51" t="s">
        <v>131</v>
      </c>
      <c r="AL2" s="51" t="s">
        <v>143</v>
      </c>
      <c r="AM2" s="51" t="s">
        <v>130</v>
      </c>
      <c r="AN2" s="51" t="s">
        <v>177</v>
      </c>
      <c r="AO2" s="51" t="s">
        <v>176</v>
      </c>
      <c r="AP2" s="51" t="s">
        <v>151</v>
      </c>
      <c r="AQ2" s="51" t="s">
        <v>152</v>
      </c>
      <c r="AR2" s="51" t="s">
        <v>155</v>
      </c>
      <c r="AS2" s="51" t="s">
        <v>159</v>
      </c>
      <c r="AT2" s="51" t="s">
        <v>139</v>
      </c>
      <c r="AU2" s="51" t="s">
        <v>162</v>
      </c>
      <c r="AV2" s="51" t="s">
        <v>178</v>
      </c>
      <c r="AW2" s="51" t="s">
        <v>179</v>
      </c>
      <c r="AX2" s="51" t="s">
        <v>135</v>
      </c>
      <c r="AY2" s="51" t="s">
        <v>127</v>
      </c>
      <c r="AZ2" s="51" t="s">
        <v>129</v>
      </c>
      <c r="BA2" s="51" t="s">
        <v>147</v>
      </c>
      <c r="BB2" s="51" t="s">
        <v>148</v>
      </c>
      <c r="BC2" s="51" t="s">
        <v>165</v>
      </c>
      <c r="BD2" s="51" t="s">
        <v>169</v>
      </c>
      <c r="BE2" s="51" t="s">
        <v>134</v>
      </c>
      <c r="BF2" s="51" t="s">
        <v>142</v>
      </c>
    </row>
    <row r="5" spans="1:70">
      <c r="A5" t="s">
        <v>381</v>
      </c>
    </row>
    <row r="6" spans="1:70" s="116" customFormat="1" ht="15.6">
      <c r="A6" s="98">
        <v>790018</v>
      </c>
      <c r="B6" s="44" t="s">
        <v>210</v>
      </c>
      <c r="C6" s="50" t="s">
        <v>279</v>
      </c>
      <c r="D6" s="50" t="s">
        <v>221</v>
      </c>
      <c r="E6" s="101"/>
      <c r="F6" s="62">
        <v>12</v>
      </c>
      <c r="G6" s="62">
        <v>1.7</v>
      </c>
      <c r="H6" s="62">
        <v>74.599999999999994</v>
      </c>
      <c r="I6" s="62">
        <v>0</v>
      </c>
      <c r="J6" s="46">
        <v>362</v>
      </c>
      <c r="K6" s="46">
        <v>0.27</v>
      </c>
      <c r="L6" s="62">
        <v>3</v>
      </c>
      <c r="M6" s="46">
        <v>1.1000000000000001</v>
      </c>
      <c r="N6" s="46">
        <v>36</v>
      </c>
      <c r="O6" s="46">
        <v>134</v>
      </c>
      <c r="P6" s="46">
        <v>150</v>
      </c>
      <c r="Q6" s="46">
        <v>2</v>
      </c>
      <c r="R6" s="46">
        <v>1.1499999999999999</v>
      </c>
      <c r="S6" s="46">
        <v>0.21199999999999999</v>
      </c>
      <c r="T6" s="46">
        <v>0</v>
      </c>
      <c r="U6" s="46">
        <v>20.100000000000001</v>
      </c>
      <c r="V6" s="46">
        <v>0</v>
      </c>
      <c r="W6" s="46">
        <v>0.06</v>
      </c>
      <c r="X6" s="46">
        <v>0</v>
      </c>
      <c r="Y6" s="46">
        <v>0</v>
      </c>
      <c r="Z6" s="46">
        <v>10</v>
      </c>
      <c r="AA6" s="46">
        <v>0</v>
      </c>
      <c r="AB6" s="46">
        <v>0.29799999999999999</v>
      </c>
      <c r="AC6" s="46">
        <v>0</v>
      </c>
      <c r="AD6" s="62">
        <v>1.59</v>
      </c>
      <c r="AE6" s="46">
        <v>0</v>
      </c>
      <c r="AF6" s="62">
        <v>8.5000000000000006E-2</v>
      </c>
      <c r="AG6" s="46">
        <v>0</v>
      </c>
      <c r="AH6" s="46">
        <v>10.4</v>
      </c>
      <c r="AI6" s="46">
        <v>0.3</v>
      </c>
      <c r="AJ6" s="46">
        <v>23</v>
      </c>
      <c r="AK6" s="62">
        <v>23</v>
      </c>
      <c r="AL6" s="46">
        <v>0</v>
      </c>
      <c r="AM6" s="62">
        <v>0</v>
      </c>
      <c r="AN6" s="46">
        <v>0</v>
      </c>
      <c r="AO6" s="46">
        <v>0</v>
      </c>
      <c r="AP6" s="46">
        <v>0</v>
      </c>
      <c r="AQ6" s="46">
        <v>0</v>
      </c>
      <c r="AR6" s="46">
        <v>0</v>
      </c>
      <c r="AS6" s="46">
        <v>0</v>
      </c>
      <c r="AT6" s="46">
        <v>0</v>
      </c>
      <c r="AU6" s="46">
        <v>0</v>
      </c>
      <c r="AV6" s="46">
        <v>0</v>
      </c>
      <c r="AW6" s="46">
        <v>0</v>
      </c>
      <c r="AX6" s="62">
        <v>0</v>
      </c>
      <c r="AY6" s="46">
        <v>0</v>
      </c>
      <c r="AZ6" s="46">
        <v>0</v>
      </c>
      <c r="BA6" s="62">
        <v>0</v>
      </c>
      <c r="BB6" s="62">
        <v>0</v>
      </c>
      <c r="BC6" s="62">
        <v>0</v>
      </c>
      <c r="BD6" s="46">
        <v>0</v>
      </c>
      <c r="BE6" s="46">
        <v>8.6999999999999994E-2</v>
      </c>
      <c r="BF6" s="44" t="str">
        <f>"new food('"&amp;B6&amp;"','"&amp;C6&amp;"','"&amp;D6&amp;"','"&amp;E6&amp;"','"&amp;F6&amp;"','"&amp;G6&amp;"','"&amp;H6&amp;"','"&amp;I6&amp;"','"&amp;J6&amp;"','"&amp;K6&amp;"','"&amp;L6&amp;"','"&amp;M6&amp;"','"&amp;N6&amp;"','"&amp;O6&amp;"','"&amp;P6&amp;"','"&amp;Q6&amp;"','"&amp;R6&amp;"','"&amp;S6&amp;"','"&amp;T6&amp;"','"&amp;U6&amp;"','"&amp;V6&amp;"','"&amp;W6&amp;"','"&amp;X6&amp;"','"&amp;Y6&amp;"','"&amp;Z6&amp;"','"&amp;AA6&amp;"','"&amp;AB6&amp;"','"&amp;AC6&amp;"','"&amp;AD6&amp;"','"&amp;AE6&amp;"','"&amp;AF6&amp;"','"&amp;AG6&amp;"','"&amp;AH6&amp;"','"&amp;AI6&amp;"','"&amp;AJ6&amp;"','"&amp;AK6&amp;"','"&amp;AL6&amp;"','"&amp;AM6&amp;"','"&amp;AN6&amp;"','"&amp;AO6&amp;"','"&amp;AP6&amp;"','"&amp;AQ6&amp;"','"&amp;AR6&amp;"','"&amp;AS6&amp;"','"&amp;AT6&amp;"','"&amp;AU6&amp;"','"&amp;AV6&amp;"','"&amp;AW6&amp;"','"&amp;AX6&amp;"','"&amp;AY6&amp;"','"&amp;AZ6&amp;"','"&amp;BA6&amp;"','"&amp;BB6&amp;"','"&amp;BC6&amp;"','"&amp;BD6&amp;"','"&amp;BE6&amp;"'),"</f>
        <v>new food('Flour wheat allpurpose unbleached','Grain','1 cup','','12','1.7','74.6','0','362','0.27','3','1.1','36','134','150','2','1.15','0.212','0','20.1','0','0.06','0','0','10','0','0.298','0','1.59','0','0.085','0','10.4','0.3','23','23','0','0','0','0','0','0','0','0','0','0','0','0','0','0','0','0','0','0','0','0.087'),</v>
      </c>
      <c r="BG6" s="44"/>
      <c r="BH6" s="44"/>
      <c r="BI6" s="44"/>
      <c r="BJ6" s="44"/>
      <c r="BK6" s="44"/>
      <c r="BL6" s="44"/>
      <c r="BM6" s="44"/>
      <c r="BN6" s="44"/>
      <c r="BO6" s="44"/>
      <c r="BP6" s="44"/>
      <c r="BQ6" s="44"/>
      <c r="BR6" s="44"/>
    </row>
    <row r="7" spans="1:70" s="44" customFormat="1" ht="15.75" customHeight="1">
      <c r="A7" s="98">
        <v>2707287</v>
      </c>
      <c r="B7" s="61" t="s">
        <v>382</v>
      </c>
      <c r="C7" s="50" t="s">
        <v>311</v>
      </c>
      <c r="D7" s="60" t="s">
        <v>383</v>
      </c>
      <c r="E7" s="99">
        <v>100</v>
      </c>
      <c r="F7" s="56">
        <v>10.56</v>
      </c>
      <c r="G7" s="63">
        <v>0.78</v>
      </c>
      <c r="H7" s="56">
        <v>2.5299999999999998</v>
      </c>
      <c r="I7" s="63">
        <v>0</v>
      </c>
      <c r="J7" s="63">
        <v>59</v>
      </c>
      <c r="K7" s="63">
        <v>0.7</v>
      </c>
      <c r="L7" s="56">
        <v>0</v>
      </c>
      <c r="M7" s="56">
        <v>0.08</v>
      </c>
      <c r="N7" s="56">
        <v>11</v>
      </c>
      <c r="O7" s="56">
        <v>15</v>
      </c>
      <c r="P7" s="56">
        <v>161</v>
      </c>
      <c r="Q7" s="56">
        <v>279</v>
      </c>
      <c r="R7" s="63">
        <v>0.03</v>
      </c>
      <c r="S7" s="63">
        <v>2.3E-2</v>
      </c>
      <c r="T7" s="63">
        <v>0</v>
      </c>
      <c r="U7" s="63">
        <v>17.7</v>
      </c>
      <c r="V7" s="63">
        <v>0</v>
      </c>
      <c r="W7" s="63">
        <v>0</v>
      </c>
      <c r="X7" s="63">
        <v>0</v>
      </c>
      <c r="Y7" s="63">
        <v>0</v>
      </c>
      <c r="Z7" s="63">
        <v>0</v>
      </c>
      <c r="AA7" s="63">
        <v>0</v>
      </c>
      <c r="AB7" s="63">
        <v>3.0000000000000001E-3</v>
      </c>
      <c r="AC7" s="63">
        <v>0.36699999999999999</v>
      </c>
      <c r="AD7" s="56">
        <v>9.8000000000000004E-2</v>
      </c>
      <c r="AE7" s="63">
        <v>0</v>
      </c>
      <c r="AF7" s="63">
        <v>5.0000000000000001E-3</v>
      </c>
      <c r="AG7" s="56">
        <v>0.08</v>
      </c>
      <c r="AH7" s="56">
        <v>0.9</v>
      </c>
      <c r="AI7" s="56">
        <v>0</v>
      </c>
      <c r="AJ7" s="63">
        <v>3</v>
      </c>
      <c r="AK7" s="56">
        <v>3</v>
      </c>
      <c r="AL7" s="56">
        <v>0</v>
      </c>
      <c r="AM7" s="56">
        <v>0</v>
      </c>
      <c r="AN7" s="63">
        <v>0</v>
      </c>
      <c r="AO7" s="63">
        <v>0</v>
      </c>
      <c r="AP7" s="63">
        <v>0</v>
      </c>
      <c r="AQ7" s="63">
        <v>0</v>
      </c>
      <c r="AR7" s="63">
        <v>0</v>
      </c>
      <c r="AS7" s="63">
        <v>0</v>
      </c>
      <c r="AT7" s="63">
        <v>0</v>
      </c>
      <c r="AU7" s="63">
        <v>0</v>
      </c>
      <c r="AV7" s="63">
        <v>0</v>
      </c>
      <c r="AW7" s="63">
        <v>0</v>
      </c>
      <c r="AX7" s="61">
        <v>0</v>
      </c>
      <c r="AY7" s="63">
        <v>0</v>
      </c>
      <c r="AZ7" s="56">
        <v>0</v>
      </c>
      <c r="BA7" s="56">
        <v>0</v>
      </c>
      <c r="BB7" s="56">
        <v>0</v>
      </c>
      <c r="BC7" s="56">
        <v>0</v>
      </c>
      <c r="BD7" s="56">
        <v>0</v>
      </c>
      <c r="BE7" s="63">
        <v>0.49199999999999999</v>
      </c>
    </row>
    <row r="8" spans="1:70" s="44" customFormat="1" ht="15.75" customHeight="1">
      <c r="A8" s="98">
        <v>2707287</v>
      </c>
      <c r="B8" s="61" t="s">
        <v>382</v>
      </c>
      <c r="C8" s="50" t="s">
        <v>311</v>
      </c>
      <c r="D8" s="60" t="s">
        <v>383</v>
      </c>
      <c r="E8" s="99">
        <v>100</v>
      </c>
      <c r="F8" s="56">
        <v>10.56</v>
      </c>
      <c r="G8" s="63">
        <v>0.78</v>
      </c>
      <c r="H8" s="56">
        <v>2.5299999999999998</v>
      </c>
      <c r="I8" s="63">
        <v>0</v>
      </c>
      <c r="J8" s="63">
        <v>59</v>
      </c>
      <c r="K8" s="63">
        <v>0.7</v>
      </c>
      <c r="L8" s="56">
        <v>0</v>
      </c>
      <c r="M8" s="56">
        <v>0.08</v>
      </c>
      <c r="N8" s="56">
        <v>11</v>
      </c>
      <c r="O8" s="56">
        <v>15</v>
      </c>
      <c r="P8" s="56">
        <v>161</v>
      </c>
      <c r="Q8" s="56">
        <v>279</v>
      </c>
      <c r="R8" s="63">
        <v>0.03</v>
      </c>
      <c r="S8" s="63">
        <v>2.3E-2</v>
      </c>
      <c r="T8" s="63">
        <v>0</v>
      </c>
      <c r="U8" s="63">
        <v>17.7</v>
      </c>
      <c r="V8" s="63">
        <v>0</v>
      </c>
      <c r="W8" s="63">
        <v>0</v>
      </c>
      <c r="X8" s="63">
        <v>0</v>
      </c>
      <c r="Y8" s="63">
        <v>0</v>
      </c>
      <c r="Z8" s="63">
        <v>0</v>
      </c>
      <c r="AA8" s="63">
        <v>0</v>
      </c>
      <c r="AB8" s="63">
        <v>3.0000000000000001E-3</v>
      </c>
      <c r="AC8" s="63">
        <v>0.36699999999999999</v>
      </c>
      <c r="AD8" s="56">
        <v>9.8000000000000004E-2</v>
      </c>
      <c r="AE8" s="63">
        <v>0</v>
      </c>
      <c r="AF8" s="63">
        <v>5.0000000000000001E-3</v>
      </c>
      <c r="AG8" s="56">
        <v>0.08</v>
      </c>
      <c r="AH8" s="56">
        <v>0.9</v>
      </c>
      <c r="AI8" s="56">
        <v>0</v>
      </c>
      <c r="AJ8" s="63">
        <v>3</v>
      </c>
      <c r="AK8" s="56">
        <v>3</v>
      </c>
      <c r="AL8" s="56">
        <v>0</v>
      </c>
      <c r="AM8" s="56">
        <v>0</v>
      </c>
      <c r="AN8" s="63">
        <v>0</v>
      </c>
      <c r="AO8" s="63">
        <v>0</v>
      </c>
      <c r="AP8" s="63">
        <v>0</v>
      </c>
      <c r="AQ8" s="63">
        <v>0</v>
      </c>
      <c r="AR8" s="63">
        <v>0</v>
      </c>
      <c r="AS8" s="63">
        <v>0</v>
      </c>
      <c r="AT8" s="63">
        <v>0</v>
      </c>
      <c r="AU8" s="63">
        <v>0</v>
      </c>
      <c r="AV8" s="63">
        <v>0</v>
      </c>
      <c r="AW8" s="63">
        <v>0</v>
      </c>
      <c r="AX8" s="61">
        <v>0</v>
      </c>
      <c r="AY8" s="63">
        <v>0</v>
      </c>
      <c r="AZ8" s="56">
        <v>0</v>
      </c>
      <c r="BA8" s="56">
        <v>0</v>
      </c>
      <c r="BB8" s="56">
        <v>0</v>
      </c>
      <c r="BC8" s="56">
        <v>0</v>
      </c>
      <c r="BD8" s="56">
        <v>0</v>
      </c>
      <c r="BE8" s="63">
        <v>0.49199999999999999</v>
      </c>
    </row>
    <row r="9" spans="1:70" s="44" customFormat="1" ht="15.75" customHeight="1">
      <c r="A9" s="98">
        <v>2707287</v>
      </c>
      <c r="B9" s="61" t="s">
        <v>382</v>
      </c>
      <c r="C9" s="50" t="s">
        <v>311</v>
      </c>
      <c r="D9" s="60" t="s">
        <v>383</v>
      </c>
      <c r="E9" s="99">
        <v>100</v>
      </c>
      <c r="F9" s="56">
        <v>10.56</v>
      </c>
      <c r="G9" s="63">
        <v>0.78</v>
      </c>
      <c r="H9" s="56">
        <v>2.5299999999999998</v>
      </c>
      <c r="I9" s="63">
        <v>0</v>
      </c>
      <c r="J9" s="63">
        <v>59</v>
      </c>
      <c r="K9" s="63">
        <v>0.7</v>
      </c>
      <c r="L9" s="56">
        <v>0</v>
      </c>
      <c r="M9" s="56">
        <v>0.08</v>
      </c>
      <c r="N9" s="56">
        <v>11</v>
      </c>
      <c r="O9" s="56">
        <v>15</v>
      </c>
      <c r="P9" s="56">
        <v>161</v>
      </c>
      <c r="Q9" s="56">
        <v>279</v>
      </c>
      <c r="R9" s="63">
        <v>0.03</v>
      </c>
      <c r="S9" s="63">
        <v>2.3E-2</v>
      </c>
      <c r="T9" s="63">
        <v>0</v>
      </c>
      <c r="U9" s="63">
        <v>17.7</v>
      </c>
      <c r="V9" s="63">
        <v>0</v>
      </c>
      <c r="W9" s="63">
        <v>0</v>
      </c>
      <c r="X9" s="63">
        <v>0</v>
      </c>
      <c r="Y9" s="63">
        <v>0</v>
      </c>
      <c r="Z9" s="63">
        <v>0</v>
      </c>
      <c r="AA9" s="63">
        <v>0</v>
      </c>
      <c r="AB9" s="63">
        <v>3.0000000000000001E-3</v>
      </c>
      <c r="AC9" s="63">
        <v>0.36699999999999999</v>
      </c>
      <c r="AD9" s="56">
        <v>9.8000000000000004E-2</v>
      </c>
      <c r="AE9" s="63">
        <v>0</v>
      </c>
      <c r="AF9" s="63">
        <v>5.0000000000000001E-3</v>
      </c>
      <c r="AG9" s="56">
        <v>0.08</v>
      </c>
      <c r="AH9" s="56">
        <v>0.9</v>
      </c>
      <c r="AI9" s="56">
        <v>0</v>
      </c>
      <c r="AJ9" s="63">
        <v>3</v>
      </c>
      <c r="AK9" s="56">
        <v>3</v>
      </c>
      <c r="AL9" s="56">
        <v>0</v>
      </c>
      <c r="AM9" s="56">
        <v>0</v>
      </c>
      <c r="AN9" s="63">
        <v>0</v>
      </c>
      <c r="AO9" s="63">
        <v>0</v>
      </c>
      <c r="AP9" s="63">
        <v>0</v>
      </c>
      <c r="AQ9" s="63">
        <v>0</v>
      </c>
      <c r="AR9" s="63">
        <v>0</v>
      </c>
      <c r="AS9" s="63">
        <v>0</v>
      </c>
      <c r="AT9" s="63">
        <v>0</v>
      </c>
      <c r="AU9" s="63">
        <v>0</v>
      </c>
      <c r="AV9" s="63">
        <v>0</v>
      </c>
      <c r="AW9" s="63">
        <v>0</v>
      </c>
      <c r="AX9" s="61">
        <v>0</v>
      </c>
      <c r="AY9" s="63">
        <v>0</v>
      </c>
      <c r="AZ9" s="56">
        <v>0</v>
      </c>
      <c r="BA9" s="56">
        <v>0</v>
      </c>
      <c r="BB9" s="56">
        <v>0</v>
      </c>
      <c r="BC9" s="56">
        <v>0</v>
      </c>
      <c r="BD9" s="56">
        <v>0</v>
      </c>
      <c r="BE9" s="63">
        <v>0.49199999999999999</v>
      </c>
    </row>
    <row r="10" spans="1:70" s="44" customFormat="1" ht="15.75" customHeight="1">
      <c r="A10" s="98">
        <v>2707287</v>
      </c>
      <c r="B10" s="61" t="s">
        <v>382</v>
      </c>
      <c r="C10" s="50" t="s">
        <v>311</v>
      </c>
      <c r="D10" s="60" t="s">
        <v>383</v>
      </c>
      <c r="E10" s="99">
        <v>100</v>
      </c>
      <c r="F10" s="56">
        <v>10.56</v>
      </c>
      <c r="G10" s="63">
        <v>0.78</v>
      </c>
      <c r="H10" s="56">
        <v>2.5299999999999998</v>
      </c>
      <c r="I10" s="63">
        <v>0</v>
      </c>
      <c r="J10" s="63">
        <v>59</v>
      </c>
      <c r="K10" s="63">
        <v>0.7</v>
      </c>
      <c r="L10" s="56">
        <v>0</v>
      </c>
      <c r="M10" s="56">
        <v>0.08</v>
      </c>
      <c r="N10" s="56">
        <v>11</v>
      </c>
      <c r="O10" s="56">
        <v>15</v>
      </c>
      <c r="P10" s="56">
        <v>161</v>
      </c>
      <c r="Q10" s="56">
        <v>279</v>
      </c>
      <c r="R10" s="63">
        <v>0.03</v>
      </c>
      <c r="S10" s="63">
        <v>2.3E-2</v>
      </c>
      <c r="T10" s="63">
        <v>0</v>
      </c>
      <c r="U10" s="63">
        <v>17.7</v>
      </c>
      <c r="V10" s="63">
        <v>0</v>
      </c>
      <c r="W10" s="63">
        <v>0</v>
      </c>
      <c r="X10" s="63">
        <v>0</v>
      </c>
      <c r="Y10" s="63">
        <v>0</v>
      </c>
      <c r="Z10" s="63">
        <v>0</v>
      </c>
      <c r="AA10" s="63">
        <v>0</v>
      </c>
      <c r="AB10" s="63">
        <v>3.0000000000000001E-3</v>
      </c>
      <c r="AC10" s="63">
        <v>0.36699999999999999</v>
      </c>
      <c r="AD10" s="56">
        <v>9.8000000000000004E-2</v>
      </c>
      <c r="AE10" s="63">
        <v>0</v>
      </c>
      <c r="AF10" s="63">
        <v>5.0000000000000001E-3</v>
      </c>
      <c r="AG10" s="56">
        <v>0.08</v>
      </c>
      <c r="AH10" s="56">
        <v>0.9</v>
      </c>
      <c r="AI10" s="56">
        <v>0</v>
      </c>
      <c r="AJ10" s="63">
        <v>3</v>
      </c>
      <c r="AK10" s="56">
        <v>3</v>
      </c>
      <c r="AL10" s="56">
        <v>0</v>
      </c>
      <c r="AM10" s="56">
        <v>0</v>
      </c>
      <c r="AN10" s="63">
        <v>0</v>
      </c>
      <c r="AO10" s="63">
        <v>0</v>
      </c>
      <c r="AP10" s="63">
        <v>0</v>
      </c>
      <c r="AQ10" s="63">
        <v>0</v>
      </c>
      <c r="AR10" s="63">
        <v>0</v>
      </c>
      <c r="AS10" s="63">
        <v>0</v>
      </c>
      <c r="AT10" s="63">
        <v>0</v>
      </c>
      <c r="AU10" s="63">
        <v>0</v>
      </c>
      <c r="AV10" s="63">
        <v>0</v>
      </c>
      <c r="AW10" s="63">
        <v>0</v>
      </c>
      <c r="AX10" s="61">
        <v>0</v>
      </c>
      <c r="AY10" s="63">
        <v>0</v>
      </c>
      <c r="AZ10" s="56">
        <v>0</v>
      </c>
      <c r="BA10" s="56">
        <v>0</v>
      </c>
      <c r="BB10" s="56">
        <v>0</v>
      </c>
      <c r="BC10" s="56">
        <v>0</v>
      </c>
      <c r="BD10" s="56">
        <v>0</v>
      </c>
      <c r="BE10" s="63">
        <v>0.49199999999999999</v>
      </c>
    </row>
    <row r="11" spans="1:70" s="44" customFormat="1" ht="15.75" customHeight="1">
      <c r="A11" s="98">
        <v>2706455</v>
      </c>
      <c r="B11" s="44" t="s">
        <v>384</v>
      </c>
      <c r="C11" s="50" t="s">
        <v>311</v>
      </c>
      <c r="D11" s="58" t="s">
        <v>221</v>
      </c>
      <c r="E11" s="63">
        <v>100</v>
      </c>
      <c r="F11" s="44">
        <v>0</v>
      </c>
      <c r="G11" s="44">
        <v>0</v>
      </c>
      <c r="H11" s="44">
        <v>100</v>
      </c>
      <c r="I11" s="44">
        <v>0.01</v>
      </c>
      <c r="J11" s="44">
        <v>387</v>
      </c>
      <c r="K11" s="44">
        <v>99.8</v>
      </c>
      <c r="L11" s="44">
        <v>0</v>
      </c>
      <c r="M11" s="44">
        <v>0.05</v>
      </c>
      <c r="N11" s="44">
        <v>0</v>
      </c>
      <c r="O11" s="44">
        <v>0</v>
      </c>
      <c r="P11" s="44">
        <v>2</v>
      </c>
      <c r="Q11" s="44">
        <v>1</v>
      </c>
      <c r="R11" s="44">
        <v>0.01</v>
      </c>
      <c r="S11" s="44">
        <v>7.0000000000000001E-3</v>
      </c>
      <c r="T11" s="44">
        <v>4.0000000000000001E-3</v>
      </c>
      <c r="U11" s="44">
        <v>0.6</v>
      </c>
      <c r="V11" s="44">
        <v>0</v>
      </c>
      <c r="W11" s="44">
        <v>0</v>
      </c>
      <c r="X11" s="44">
        <v>0</v>
      </c>
      <c r="Y11" s="44">
        <v>0</v>
      </c>
      <c r="Z11" s="44">
        <v>0</v>
      </c>
      <c r="AA11" s="44">
        <v>0</v>
      </c>
      <c r="AB11" s="44">
        <v>0</v>
      </c>
      <c r="AC11" s="44">
        <v>1.9E-2</v>
      </c>
      <c r="AD11" s="44">
        <v>0</v>
      </c>
      <c r="AE11" s="44">
        <v>0</v>
      </c>
      <c r="AF11" s="44">
        <v>0</v>
      </c>
      <c r="AG11" s="44">
        <v>0</v>
      </c>
      <c r="AH11" s="44">
        <v>0</v>
      </c>
      <c r="AI11" s="44">
        <v>0</v>
      </c>
      <c r="AJ11" s="44">
        <v>1</v>
      </c>
      <c r="AK11" s="44">
        <v>0</v>
      </c>
      <c r="AL11" s="44">
        <v>0</v>
      </c>
      <c r="AM11" s="44">
        <v>0</v>
      </c>
      <c r="AN11" s="44">
        <v>0</v>
      </c>
      <c r="AO11" s="44">
        <v>0</v>
      </c>
      <c r="AP11" s="44">
        <v>0</v>
      </c>
      <c r="AQ11" s="44">
        <v>0</v>
      </c>
      <c r="AR11" s="44">
        <v>0</v>
      </c>
      <c r="AS11" s="44">
        <v>0</v>
      </c>
      <c r="AT11" s="44">
        <v>0</v>
      </c>
      <c r="AU11" s="44">
        <v>0</v>
      </c>
      <c r="AV11" s="44">
        <v>0</v>
      </c>
      <c r="AW11" s="44">
        <v>0</v>
      </c>
      <c r="AX11" s="44">
        <v>0</v>
      </c>
      <c r="AY11" s="44">
        <v>0</v>
      </c>
      <c r="AZ11" s="44">
        <v>0</v>
      </c>
      <c r="BA11" s="44">
        <v>0</v>
      </c>
      <c r="BB11" s="44">
        <v>0</v>
      </c>
      <c r="BC11" s="44">
        <v>0</v>
      </c>
      <c r="BD11" s="44">
        <v>0</v>
      </c>
      <c r="BE11" s="44">
        <v>0</v>
      </c>
    </row>
    <row r="12" spans="1:70" s="44" customFormat="1" ht="18" customHeight="1">
      <c r="A12" s="101">
        <v>2705587</v>
      </c>
      <c r="B12" s="44" t="s">
        <v>385</v>
      </c>
      <c r="C12" s="84" t="s">
        <v>311</v>
      </c>
      <c r="D12" s="58"/>
      <c r="E12" s="117" t="s">
        <v>357</v>
      </c>
      <c r="F12" s="117">
        <v>20</v>
      </c>
      <c r="G12" s="117">
        <v>10</v>
      </c>
      <c r="H12" s="117">
        <v>60</v>
      </c>
      <c r="I12" s="117">
        <v>0</v>
      </c>
      <c r="J12" s="117">
        <v>200</v>
      </c>
      <c r="K12" s="117">
        <v>0</v>
      </c>
      <c r="L12" s="117">
        <v>40</v>
      </c>
      <c r="M12" s="144">
        <v>40</v>
      </c>
      <c r="N12" s="117">
        <v>0</v>
      </c>
      <c r="O12" s="117">
        <v>0</v>
      </c>
      <c r="P12" s="117">
        <v>1500</v>
      </c>
      <c r="Q12" s="117">
        <v>0</v>
      </c>
      <c r="R12" s="117">
        <v>0</v>
      </c>
      <c r="S12" s="117">
        <v>0</v>
      </c>
      <c r="T12" s="117">
        <v>0</v>
      </c>
      <c r="U12" s="117">
        <v>0</v>
      </c>
      <c r="V12" s="117">
        <v>0</v>
      </c>
      <c r="W12" s="117">
        <v>0</v>
      </c>
      <c r="X12" s="117">
        <v>0</v>
      </c>
      <c r="Y12" s="117">
        <v>0</v>
      </c>
      <c r="Z12" s="117">
        <v>0</v>
      </c>
      <c r="AA12" s="117">
        <v>0</v>
      </c>
      <c r="AB12" s="117">
        <v>0</v>
      </c>
      <c r="AC12" s="117">
        <v>0</v>
      </c>
      <c r="AD12" s="117">
        <v>0</v>
      </c>
      <c r="AE12" s="117">
        <v>0</v>
      </c>
      <c r="AF12" s="117">
        <v>0</v>
      </c>
      <c r="AG12" s="144">
        <v>0</v>
      </c>
      <c r="AH12" s="144">
        <v>0</v>
      </c>
      <c r="AI12" s="144">
        <v>0</v>
      </c>
      <c r="AJ12" s="117">
        <v>0</v>
      </c>
      <c r="AK12" s="117">
        <v>0</v>
      </c>
      <c r="AL12" s="117">
        <v>0</v>
      </c>
      <c r="AM12" s="144">
        <v>0</v>
      </c>
      <c r="AN12" s="117">
        <v>0</v>
      </c>
      <c r="AO12" s="117">
        <v>0</v>
      </c>
      <c r="AP12" s="117">
        <v>0</v>
      </c>
      <c r="AQ12" s="117">
        <v>0</v>
      </c>
      <c r="AR12" s="117">
        <v>0</v>
      </c>
      <c r="AS12" s="117">
        <v>0</v>
      </c>
      <c r="AT12" s="117">
        <v>0</v>
      </c>
      <c r="AU12" s="117">
        <v>0</v>
      </c>
      <c r="AV12" s="117">
        <v>0</v>
      </c>
      <c r="AW12" s="117">
        <v>0</v>
      </c>
      <c r="AX12" s="117">
        <v>0</v>
      </c>
      <c r="AY12" s="117">
        <v>0</v>
      </c>
      <c r="AZ12" s="117">
        <v>0</v>
      </c>
      <c r="BA12" s="117">
        <v>0</v>
      </c>
      <c r="BB12" s="117">
        <v>0</v>
      </c>
      <c r="BC12" s="117">
        <v>0</v>
      </c>
      <c r="BD12" s="117">
        <v>0</v>
      </c>
      <c r="BE12" s="117">
        <v>0</v>
      </c>
      <c r="BG12" s="116"/>
      <c r="BH12" s="116"/>
      <c r="BI12" s="116"/>
      <c r="BJ12" s="116"/>
      <c r="BK12" s="116"/>
      <c r="BL12" s="116"/>
      <c r="BM12" s="116"/>
      <c r="BN12" s="116"/>
      <c r="BO12" s="116"/>
      <c r="BP12" s="116"/>
    </row>
    <row r="13" spans="1:70" s="44" customFormat="1" ht="17.25" customHeight="1">
      <c r="A13" s="98">
        <v>173410</v>
      </c>
      <c r="B13" s="44" t="s">
        <v>386</v>
      </c>
      <c r="C13" s="60" t="s">
        <v>311</v>
      </c>
      <c r="D13" s="60" t="s">
        <v>387</v>
      </c>
      <c r="E13" s="110">
        <v>100</v>
      </c>
      <c r="F13" s="46">
        <v>0.85</v>
      </c>
      <c r="G13" s="46">
        <v>81.099999999999994</v>
      </c>
      <c r="H13" s="62">
        <v>0.06</v>
      </c>
      <c r="I13" s="46">
        <v>2.11</v>
      </c>
      <c r="J13" s="46">
        <v>717</v>
      </c>
      <c r="K13" s="62">
        <v>0.06</v>
      </c>
      <c r="L13" s="88">
        <v>0</v>
      </c>
      <c r="M13" s="46">
        <v>0.02</v>
      </c>
      <c r="N13" s="46">
        <v>2</v>
      </c>
      <c r="O13" s="46">
        <v>24</v>
      </c>
      <c r="P13" s="46">
        <v>24</v>
      </c>
      <c r="Q13" s="46">
        <v>643</v>
      </c>
      <c r="R13" s="46">
        <v>0.09</v>
      </c>
      <c r="S13" s="46">
        <v>0</v>
      </c>
      <c r="T13" s="46">
        <v>0</v>
      </c>
      <c r="U13" s="46">
        <v>1</v>
      </c>
      <c r="V13" s="46">
        <v>671</v>
      </c>
      <c r="W13" s="46">
        <v>2.3199999999999998</v>
      </c>
      <c r="X13" s="46">
        <v>0</v>
      </c>
      <c r="Y13" s="46">
        <v>0</v>
      </c>
      <c r="Z13" s="46">
        <v>0</v>
      </c>
      <c r="AA13" s="46">
        <v>0</v>
      </c>
      <c r="AB13" s="46">
        <v>5.0000000000000001E-3</v>
      </c>
      <c r="AC13" s="46">
        <v>3.4000000000000002E-2</v>
      </c>
      <c r="AD13" s="46">
        <v>4.2000000000000003E-2</v>
      </c>
      <c r="AE13" s="46">
        <v>0.11</v>
      </c>
      <c r="AF13" s="46">
        <v>3.0000000000000001E-3</v>
      </c>
      <c r="AG13" s="46">
        <v>0.17</v>
      </c>
      <c r="AH13" s="46">
        <v>18.8</v>
      </c>
      <c r="AI13" s="46">
        <v>7</v>
      </c>
      <c r="AJ13" s="46">
        <v>24</v>
      </c>
      <c r="AK13" s="88">
        <v>3</v>
      </c>
      <c r="AL13" s="46">
        <v>0.3</v>
      </c>
      <c r="AM13" s="80">
        <v>0</v>
      </c>
      <c r="AN13" s="46">
        <v>3.7999999999999999E-2</v>
      </c>
      <c r="AO13" s="46">
        <v>5.0999999999999997E-2</v>
      </c>
      <c r="AP13" s="46">
        <v>8.3000000000000004E-2</v>
      </c>
      <c r="AQ13" s="46">
        <v>6.7000000000000004E-2</v>
      </c>
      <c r="AR13" s="46">
        <v>2.1000000000000001E-2</v>
      </c>
      <c r="AS13" s="46">
        <v>8.0000000000000002E-3</v>
      </c>
      <c r="AT13" s="46">
        <v>4.1000000000000002E-2</v>
      </c>
      <c r="AU13" s="46">
        <v>4.1000000000000002E-2</v>
      </c>
      <c r="AV13" s="46">
        <v>5.7000000000000002E-2</v>
      </c>
      <c r="AW13" s="46">
        <v>3.1E-2</v>
      </c>
      <c r="AX13" s="46">
        <v>2.9000000000000001E-2</v>
      </c>
      <c r="AY13" s="46">
        <v>6.4000000000000001E-2</v>
      </c>
      <c r="AZ13" s="46">
        <v>0.17799999999999999</v>
      </c>
      <c r="BA13" s="46">
        <v>1.7999999999999999E-2</v>
      </c>
      <c r="BB13" s="46">
        <v>8.2000000000000003E-2</v>
      </c>
      <c r="BC13" s="46">
        <v>4.5999999999999999E-2</v>
      </c>
      <c r="BD13" s="46">
        <v>215</v>
      </c>
      <c r="BE13" s="46">
        <v>51.4</v>
      </c>
    </row>
    <row r="14" spans="1:70" s="44" customFormat="1" ht="15" customHeight="1">
      <c r="A14" s="97">
        <v>170187</v>
      </c>
      <c r="B14" s="57" t="s">
        <v>119</v>
      </c>
      <c r="C14" s="50" t="s">
        <v>285</v>
      </c>
      <c r="D14" s="60" t="s">
        <v>224</v>
      </c>
      <c r="E14" s="110">
        <v>28.35</v>
      </c>
      <c r="F14" s="63">
        <v>15.23</v>
      </c>
      <c r="G14" s="63">
        <v>65.209999999999994</v>
      </c>
      <c r="H14" s="44">
        <v>13.71</v>
      </c>
      <c r="I14" s="44">
        <v>1.78</v>
      </c>
      <c r="J14" s="44">
        <v>654</v>
      </c>
      <c r="K14" s="56">
        <v>2.61</v>
      </c>
      <c r="L14" s="45">
        <v>6.7</v>
      </c>
      <c r="M14" s="44">
        <v>2.91</v>
      </c>
      <c r="N14" s="63">
        <v>158</v>
      </c>
      <c r="O14" s="63">
        <v>346</v>
      </c>
      <c r="P14" s="56">
        <v>441</v>
      </c>
      <c r="Q14" s="56">
        <v>2</v>
      </c>
      <c r="R14" s="56">
        <v>3.09</v>
      </c>
      <c r="S14" s="44">
        <v>1.5860000000000001</v>
      </c>
      <c r="T14" s="56">
        <v>3.4140000000000001</v>
      </c>
      <c r="U14" s="56">
        <v>4.9000000000000004</v>
      </c>
      <c r="V14" s="56">
        <v>0</v>
      </c>
      <c r="W14" s="56">
        <v>0.7</v>
      </c>
      <c r="X14" s="63">
        <v>0</v>
      </c>
      <c r="Y14" s="46">
        <v>0</v>
      </c>
      <c r="Z14" s="46">
        <v>9</v>
      </c>
      <c r="AA14" s="63">
        <v>1.3</v>
      </c>
      <c r="AB14" s="56">
        <v>0.34100000000000003</v>
      </c>
      <c r="AC14" s="56">
        <v>0.15</v>
      </c>
      <c r="AD14" s="63">
        <v>1.125</v>
      </c>
      <c r="AE14" s="56">
        <v>0.56999999999999995</v>
      </c>
      <c r="AF14" s="63">
        <v>0.53700000000000003</v>
      </c>
      <c r="AG14" s="56">
        <v>0</v>
      </c>
      <c r="AH14" s="45">
        <v>39.200000000000003</v>
      </c>
      <c r="AI14" s="56">
        <v>2.7</v>
      </c>
      <c r="AJ14" s="44">
        <v>98</v>
      </c>
      <c r="AK14" s="45">
        <v>98</v>
      </c>
      <c r="AL14" s="44">
        <v>0.3</v>
      </c>
      <c r="AM14" s="56">
        <v>0.17</v>
      </c>
      <c r="AN14" s="56">
        <v>0.59599999999999997</v>
      </c>
      <c r="AO14" s="45">
        <v>0.625</v>
      </c>
      <c r="AP14" s="45">
        <v>1.17</v>
      </c>
      <c r="AQ14" s="45">
        <v>0.42399999999999999</v>
      </c>
      <c r="AR14" s="45">
        <v>0.23599999999999999</v>
      </c>
      <c r="AS14" s="44">
        <v>0.20799999999999999</v>
      </c>
      <c r="AT14" s="63">
        <v>0.71099999999999997</v>
      </c>
      <c r="AU14" s="56">
        <v>0.40600000000000003</v>
      </c>
      <c r="AV14" s="56">
        <v>0.753</v>
      </c>
      <c r="AW14" s="44">
        <v>2.278</v>
      </c>
      <c r="AX14" s="45">
        <v>0.69599999999999995</v>
      </c>
      <c r="AY14" s="45">
        <v>1.829</v>
      </c>
      <c r="AZ14" s="45">
        <v>2.8159999999999998</v>
      </c>
      <c r="BA14" s="44">
        <v>0.81599999999999995</v>
      </c>
      <c r="BB14" s="56">
        <v>0.70599999999999996</v>
      </c>
      <c r="BC14" s="56">
        <v>0.93400000000000005</v>
      </c>
      <c r="BD14" s="56">
        <v>0</v>
      </c>
      <c r="BE14" s="44">
        <v>8.9329999999999998</v>
      </c>
      <c r="BF14" s="44" t="str">
        <f>"new food('"&amp;B14&amp;"','"&amp;C14&amp;"','"&amp;D14&amp;"','"&amp;E14&amp;"','"&amp;F14&amp;"','"&amp;G14&amp;"','"&amp;H14&amp;"','"&amp;I14&amp;"','"&amp;J14&amp;"','"&amp;K14&amp;"','"&amp;L14&amp;"','"&amp;M14&amp;"','"&amp;N14&amp;"','"&amp;O14&amp;"','"&amp;P14&amp;"','"&amp;Q14&amp;"','"&amp;R14&amp;"','"&amp;S14&amp;"','"&amp;T14&amp;"','"&amp;U14&amp;"','"&amp;V14&amp;"','"&amp;W14&amp;"','"&amp;X14&amp;"','"&amp;Y14&amp;"','"&amp;Z14&amp;"','"&amp;AA14&amp;"','"&amp;AB14&amp;"','"&amp;AC14&amp;"','"&amp;AD14&amp;"','"&amp;AE14&amp;"','"&amp;AF14&amp;"','"&amp;AG14&amp;"','"&amp;AH14&amp;"','"&amp;AI14&amp;"','"&amp;AJ14&amp;"','"&amp;AK14&amp;"','"&amp;AL14&amp;"','"&amp;AM14&amp;"','"&amp;AN14&amp;"','"&amp;AO14&amp;"','"&amp;AP14&amp;"','"&amp;AQ14&amp;"','"&amp;AR14&amp;"','"&amp;AS14&amp;"','"&amp;AT14&amp;"','"&amp;AU14&amp;"','"&amp;AV14&amp;"','"&amp;AW14&amp;"','"&amp;AX14&amp;"','"&amp;AY14&amp;"','"&amp;AZ14&amp;"','"&amp;BA14&amp;"','"&amp;BB14&amp;"','"&amp;BC14&amp;"','"&amp;BD14&amp;"','"&amp;BE14&amp;"'),"</f>
        <v>new food('Nuts walnuts english','Snack','1 oz','28.35','15.23','65.21','13.71','1.78','654','2.61','6.7','2.91','158','346','441','2','3.09','1.586','3.414','4.9','0','0.7','0','0','9','1.3','0.341','0.15','1.125','0.57','0.537','0','39.2','2.7','98','98','0.3','0.17','0.596','0.625','1.17','0.424','0.236','0.208','0.711','0.406','0.753','2.278','0.696','1.829','2.816','0.816','0.706','0.934','0','8.933'),</v>
      </c>
    </row>
    <row r="15" spans="1:70" s="44" customFormat="1" ht="15" customHeight="1">
      <c r="A15" s="97">
        <v>170187</v>
      </c>
      <c r="B15" s="57" t="s">
        <v>119</v>
      </c>
      <c r="C15" s="50" t="s">
        <v>285</v>
      </c>
      <c r="D15" s="60" t="s">
        <v>224</v>
      </c>
      <c r="E15" s="110">
        <v>28.35</v>
      </c>
      <c r="F15" s="63">
        <v>15.23</v>
      </c>
      <c r="G15" s="63">
        <v>65.209999999999994</v>
      </c>
      <c r="H15" s="44">
        <v>13.71</v>
      </c>
      <c r="I15" s="44">
        <v>1.78</v>
      </c>
      <c r="J15" s="44">
        <v>654</v>
      </c>
      <c r="K15" s="56">
        <v>2.61</v>
      </c>
      <c r="L15" s="45">
        <v>6.7</v>
      </c>
      <c r="M15" s="44">
        <v>2.91</v>
      </c>
      <c r="N15" s="63">
        <v>158</v>
      </c>
      <c r="O15" s="63">
        <v>346</v>
      </c>
      <c r="P15" s="56">
        <v>441</v>
      </c>
      <c r="Q15" s="56">
        <v>2</v>
      </c>
      <c r="R15" s="56">
        <v>3.09</v>
      </c>
      <c r="S15" s="44">
        <v>1.5860000000000001</v>
      </c>
      <c r="T15" s="56">
        <v>3.4140000000000001</v>
      </c>
      <c r="U15" s="56">
        <v>4.9000000000000004</v>
      </c>
      <c r="V15" s="56">
        <v>0</v>
      </c>
      <c r="W15" s="56">
        <v>0.7</v>
      </c>
      <c r="X15" s="63">
        <v>0</v>
      </c>
      <c r="Y15" s="46">
        <v>0</v>
      </c>
      <c r="Z15" s="46">
        <v>9</v>
      </c>
      <c r="AA15" s="63">
        <v>1.3</v>
      </c>
      <c r="AB15" s="56">
        <v>0.34100000000000003</v>
      </c>
      <c r="AC15" s="56">
        <v>0.15</v>
      </c>
      <c r="AD15" s="63">
        <v>1.125</v>
      </c>
      <c r="AE15" s="56">
        <v>0.56999999999999995</v>
      </c>
      <c r="AF15" s="63">
        <v>0.53700000000000003</v>
      </c>
      <c r="AG15" s="56">
        <v>0</v>
      </c>
      <c r="AH15" s="45">
        <v>39.200000000000003</v>
      </c>
      <c r="AI15" s="56">
        <v>2.7</v>
      </c>
      <c r="AJ15" s="44">
        <v>98</v>
      </c>
      <c r="AK15" s="45">
        <v>98</v>
      </c>
      <c r="AL15" s="44">
        <v>0.3</v>
      </c>
      <c r="AM15" s="56">
        <v>0.17</v>
      </c>
      <c r="AN15" s="56">
        <v>0.59599999999999997</v>
      </c>
      <c r="AO15" s="45">
        <v>0.625</v>
      </c>
      <c r="AP15" s="45">
        <v>1.17</v>
      </c>
      <c r="AQ15" s="45">
        <v>0.42399999999999999</v>
      </c>
      <c r="AR15" s="45">
        <v>0.23599999999999999</v>
      </c>
      <c r="AS15" s="44">
        <v>0.20799999999999999</v>
      </c>
      <c r="AT15" s="63">
        <v>0.71099999999999997</v>
      </c>
      <c r="AU15" s="56">
        <v>0.40600000000000003</v>
      </c>
      <c r="AV15" s="56">
        <v>0.753</v>
      </c>
      <c r="AW15" s="44">
        <v>2.278</v>
      </c>
      <c r="AX15" s="45">
        <v>0.69599999999999995</v>
      </c>
      <c r="AY15" s="45">
        <v>1.829</v>
      </c>
      <c r="AZ15" s="45">
        <v>2.8159999999999998</v>
      </c>
      <c r="BA15" s="44">
        <v>0.81599999999999995</v>
      </c>
      <c r="BB15" s="56">
        <v>0.70599999999999996</v>
      </c>
      <c r="BC15" s="56">
        <v>0.93400000000000005</v>
      </c>
      <c r="BD15" s="56">
        <v>0</v>
      </c>
      <c r="BE15" s="44">
        <v>8.9329999999999998</v>
      </c>
      <c r="BF15" s="44" t="str">
        <f>"new food('"&amp;B15&amp;"','"&amp;C15&amp;"','"&amp;D15&amp;"','"&amp;E15&amp;"','"&amp;F15&amp;"','"&amp;G15&amp;"','"&amp;H15&amp;"','"&amp;I15&amp;"','"&amp;J15&amp;"','"&amp;K15&amp;"','"&amp;L15&amp;"','"&amp;M15&amp;"','"&amp;N15&amp;"','"&amp;O15&amp;"','"&amp;P15&amp;"','"&amp;Q15&amp;"','"&amp;R15&amp;"','"&amp;S15&amp;"','"&amp;T15&amp;"','"&amp;U15&amp;"','"&amp;V15&amp;"','"&amp;W15&amp;"','"&amp;X15&amp;"','"&amp;Y15&amp;"','"&amp;Z15&amp;"','"&amp;AA15&amp;"','"&amp;AB15&amp;"','"&amp;AC15&amp;"','"&amp;AD15&amp;"','"&amp;AE15&amp;"','"&amp;AF15&amp;"','"&amp;AG15&amp;"','"&amp;AH15&amp;"','"&amp;AI15&amp;"','"&amp;AJ15&amp;"','"&amp;AK15&amp;"','"&amp;AL15&amp;"','"&amp;AM15&amp;"','"&amp;AN15&amp;"','"&amp;AO15&amp;"','"&amp;AP15&amp;"','"&amp;AQ15&amp;"','"&amp;AR15&amp;"','"&amp;AS15&amp;"','"&amp;AT15&amp;"','"&amp;AU15&amp;"','"&amp;AV15&amp;"','"&amp;AW15&amp;"','"&amp;AX15&amp;"','"&amp;AY15&amp;"','"&amp;AZ15&amp;"','"&amp;BA15&amp;"','"&amp;BB15&amp;"','"&amp;BC15&amp;"','"&amp;BD15&amp;"','"&amp;BE15&amp;"'),"</f>
        <v>new food('Nuts walnuts english','Snack','1 oz','28.35','15.23','65.21','13.71','1.78','654','2.61','6.7','2.91','158','346','441','2','3.09','1.586','3.414','4.9','0','0.7','0','0','9','1.3','0.341','0.15','1.125','0.57','0.537','0','39.2','2.7','98','98','0.3','0.17','0.596','0.625','1.17','0.424','0.236','0.208','0.711','0.406','0.753','2.278','0.696','1.829','2.816','0.816','0.706','0.934','0','8.933'),</v>
      </c>
    </row>
    <row r="16" spans="1:70">
      <c r="A16" t="s">
        <v>388</v>
      </c>
    </row>
    <row r="17" spans="1:57" s="44" customFormat="1" ht="15.75" customHeight="1">
      <c r="A17" s="98">
        <v>2706455</v>
      </c>
      <c r="B17" s="44" t="s">
        <v>384</v>
      </c>
      <c r="C17" s="50" t="s">
        <v>311</v>
      </c>
      <c r="D17" s="58" t="s">
        <v>221</v>
      </c>
      <c r="E17" s="63">
        <v>100</v>
      </c>
      <c r="F17" s="44">
        <v>0</v>
      </c>
      <c r="G17" s="44">
        <v>0</v>
      </c>
      <c r="H17" s="44">
        <v>100</v>
      </c>
      <c r="I17" s="44">
        <v>0.01</v>
      </c>
      <c r="J17" s="44">
        <v>387</v>
      </c>
      <c r="K17" s="44">
        <v>99.8</v>
      </c>
      <c r="L17" s="44">
        <v>0</v>
      </c>
      <c r="M17" s="44">
        <v>0.05</v>
      </c>
      <c r="N17" s="44">
        <v>0</v>
      </c>
      <c r="O17" s="44">
        <v>0</v>
      </c>
      <c r="P17" s="44">
        <v>2</v>
      </c>
      <c r="Q17" s="44">
        <v>1</v>
      </c>
      <c r="R17" s="44">
        <v>0.01</v>
      </c>
      <c r="S17" s="44">
        <v>7.0000000000000001E-3</v>
      </c>
      <c r="T17" s="44">
        <v>4.0000000000000001E-3</v>
      </c>
      <c r="U17" s="44">
        <v>0.6</v>
      </c>
      <c r="V17" s="44">
        <v>0</v>
      </c>
      <c r="W17" s="44">
        <v>0</v>
      </c>
      <c r="X17" s="44">
        <v>0</v>
      </c>
      <c r="Y17" s="44">
        <v>0</v>
      </c>
      <c r="Z17" s="44">
        <v>0</v>
      </c>
      <c r="AA17" s="44">
        <v>0</v>
      </c>
      <c r="AB17" s="44">
        <v>0</v>
      </c>
      <c r="AC17" s="44">
        <v>1.9E-2</v>
      </c>
      <c r="AD17" s="44">
        <v>0</v>
      </c>
      <c r="AE17" s="44">
        <v>0</v>
      </c>
      <c r="AF17" s="44">
        <v>0</v>
      </c>
      <c r="AG17" s="44">
        <v>0</v>
      </c>
      <c r="AH17" s="44">
        <v>0</v>
      </c>
      <c r="AI17" s="44">
        <v>0</v>
      </c>
      <c r="AJ17" s="44">
        <v>1</v>
      </c>
      <c r="AK17" s="44">
        <v>0</v>
      </c>
      <c r="AL17" s="44">
        <v>0</v>
      </c>
      <c r="AM17" s="44">
        <v>0</v>
      </c>
      <c r="AN17" s="44">
        <v>0</v>
      </c>
      <c r="AO17" s="44">
        <v>0</v>
      </c>
      <c r="AP17" s="44">
        <v>0</v>
      </c>
      <c r="AQ17" s="44">
        <v>0</v>
      </c>
      <c r="AR17" s="44">
        <v>0</v>
      </c>
      <c r="AS17" s="44">
        <v>0</v>
      </c>
      <c r="AT17" s="44">
        <v>0</v>
      </c>
      <c r="AU17" s="44">
        <v>0</v>
      </c>
      <c r="AV17" s="44">
        <v>0</v>
      </c>
      <c r="AW17" s="44">
        <v>0</v>
      </c>
      <c r="AX17" s="44">
        <v>0</v>
      </c>
      <c r="AY17" s="44">
        <v>0</v>
      </c>
      <c r="AZ17" s="44">
        <v>0</v>
      </c>
      <c r="BA17" s="44">
        <v>0</v>
      </c>
      <c r="BB17" s="44">
        <v>0</v>
      </c>
      <c r="BC17" s="44">
        <v>0</v>
      </c>
      <c r="BD17" s="44">
        <v>0</v>
      </c>
      <c r="BE17" s="44">
        <v>0</v>
      </c>
    </row>
    <row r="18" spans="1:57" s="44" customFormat="1" ht="15.75" customHeight="1">
      <c r="A18" s="98">
        <v>2706455</v>
      </c>
      <c r="B18" s="44" t="s">
        <v>384</v>
      </c>
      <c r="C18" s="50" t="s">
        <v>311</v>
      </c>
      <c r="D18" s="58" t="s">
        <v>221</v>
      </c>
      <c r="E18" s="63">
        <v>100</v>
      </c>
      <c r="F18" s="44">
        <v>0</v>
      </c>
      <c r="G18" s="44">
        <v>0</v>
      </c>
      <c r="H18" s="44">
        <v>100</v>
      </c>
      <c r="I18" s="44">
        <v>0.01</v>
      </c>
      <c r="J18" s="44">
        <v>387</v>
      </c>
      <c r="K18" s="44">
        <v>99.8</v>
      </c>
      <c r="L18" s="44">
        <v>0</v>
      </c>
      <c r="M18" s="44">
        <v>0.05</v>
      </c>
      <c r="N18" s="44">
        <v>0</v>
      </c>
      <c r="O18" s="44">
        <v>0</v>
      </c>
      <c r="P18" s="44">
        <v>2</v>
      </c>
      <c r="Q18" s="44">
        <v>1</v>
      </c>
      <c r="R18" s="44">
        <v>0.01</v>
      </c>
      <c r="S18" s="44">
        <v>7.0000000000000001E-3</v>
      </c>
      <c r="T18" s="44">
        <v>4.0000000000000001E-3</v>
      </c>
      <c r="U18" s="44">
        <v>0.6</v>
      </c>
      <c r="V18" s="44">
        <v>0</v>
      </c>
      <c r="W18" s="44">
        <v>0</v>
      </c>
      <c r="X18" s="44">
        <v>0</v>
      </c>
      <c r="Y18" s="44">
        <v>0</v>
      </c>
      <c r="Z18" s="44">
        <v>0</v>
      </c>
      <c r="AA18" s="44">
        <v>0</v>
      </c>
      <c r="AB18" s="44">
        <v>0</v>
      </c>
      <c r="AC18" s="44">
        <v>1.9E-2</v>
      </c>
      <c r="AD18" s="44">
        <v>0</v>
      </c>
      <c r="AE18" s="44">
        <v>0</v>
      </c>
      <c r="AF18" s="44">
        <v>0</v>
      </c>
      <c r="AG18" s="44">
        <v>0</v>
      </c>
      <c r="AH18" s="44">
        <v>0</v>
      </c>
      <c r="AI18" s="44">
        <v>0</v>
      </c>
      <c r="AJ18" s="44">
        <v>1</v>
      </c>
      <c r="AK18" s="44">
        <v>0</v>
      </c>
      <c r="AL18" s="44">
        <v>0</v>
      </c>
      <c r="AM18" s="44">
        <v>0</v>
      </c>
      <c r="AN18" s="44">
        <v>0</v>
      </c>
      <c r="AO18" s="44">
        <v>0</v>
      </c>
      <c r="AP18" s="44">
        <v>0</v>
      </c>
      <c r="AQ18" s="44">
        <v>0</v>
      </c>
      <c r="AR18" s="44">
        <v>0</v>
      </c>
      <c r="AS18" s="44">
        <v>0</v>
      </c>
      <c r="AT18" s="44">
        <v>0</v>
      </c>
      <c r="AU18" s="44">
        <v>0</v>
      </c>
      <c r="AV18" s="44">
        <v>0</v>
      </c>
      <c r="AW18" s="44">
        <v>0</v>
      </c>
      <c r="AX18" s="44">
        <v>0</v>
      </c>
      <c r="AY18" s="44">
        <v>0</v>
      </c>
      <c r="AZ18" s="44">
        <v>0</v>
      </c>
      <c r="BA18" s="44">
        <v>0</v>
      </c>
      <c r="BB18" s="44">
        <v>0</v>
      </c>
      <c r="BC18" s="44">
        <v>0</v>
      </c>
      <c r="BD18" s="44">
        <v>0</v>
      </c>
      <c r="BE18" s="44">
        <v>0</v>
      </c>
    </row>
    <row r="19" spans="1:57" ht="15.6">
      <c r="A19" s="98">
        <v>173410</v>
      </c>
      <c r="B19" s="44" t="s">
        <v>386</v>
      </c>
      <c r="C19" s="60" t="s">
        <v>311</v>
      </c>
      <c r="D19" s="58" t="s">
        <v>389</v>
      </c>
      <c r="E19">
        <v>25</v>
      </c>
      <c r="F19" s="35">
        <f>F13/3.25</f>
        <v>0.26153846153846155</v>
      </c>
      <c r="G19" s="35">
        <f t="shared" ref="G19:BE19" si="0">G13/3.25</f>
        <v>24.95384615384615</v>
      </c>
      <c r="H19" s="35">
        <f t="shared" si="0"/>
        <v>1.846153846153846E-2</v>
      </c>
      <c r="I19" s="35">
        <f t="shared" si="0"/>
        <v>0.64923076923076917</v>
      </c>
      <c r="J19" s="35">
        <f t="shared" si="0"/>
        <v>220.61538461538461</v>
      </c>
      <c r="K19" s="35">
        <f t="shared" si="0"/>
        <v>1.846153846153846E-2</v>
      </c>
      <c r="L19" s="35">
        <f t="shared" si="0"/>
        <v>0</v>
      </c>
      <c r="M19" s="35">
        <f t="shared" si="0"/>
        <v>6.1538461538461538E-3</v>
      </c>
      <c r="N19" s="35">
        <f t="shared" si="0"/>
        <v>0.61538461538461542</v>
      </c>
      <c r="O19" s="35">
        <f t="shared" si="0"/>
        <v>7.384615384615385</v>
      </c>
      <c r="P19" s="35">
        <f t="shared" si="0"/>
        <v>7.384615384615385</v>
      </c>
      <c r="Q19" s="35">
        <f t="shared" si="0"/>
        <v>197.84615384615384</v>
      </c>
      <c r="R19" s="35">
        <f t="shared" si="0"/>
        <v>2.769230769230769E-2</v>
      </c>
      <c r="S19" s="35">
        <f t="shared" si="0"/>
        <v>0</v>
      </c>
      <c r="T19" s="35">
        <f t="shared" si="0"/>
        <v>0</v>
      </c>
      <c r="U19" s="35">
        <f t="shared" si="0"/>
        <v>0.30769230769230771</v>
      </c>
      <c r="V19" s="35">
        <f t="shared" si="0"/>
        <v>206.46153846153845</v>
      </c>
      <c r="W19" s="35">
        <f t="shared" si="0"/>
        <v>0.7138461538461538</v>
      </c>
      <c r="X19" s="35">
        <f t="shared" si="0"/>
        <v>0</v>
      </c>
      <c r="Y19" s="35">
        <f t="shared" si="0"/>
        <v>0</v>
      </c>
      <c r="Z19" s="35">
        <f t="shared" si="0"/>
        <v>0</v>
      </c>
      <c r="AA19" s="35">
        <f t="shared" si="0"/>
        <v>0</v>
      </c>
      <c r="AB19" s="35">
        <f t="shared" si="0"/>
        <v>1.5384615384615385E-3</v>
      </c>
      <c r="AC19" s="35">
        <f t="shared" si="0"/>
        <v>1.0461538461538463E-2</v>
      </c>
      <c r="AD19" s="35">
        <f t="shared" si="0"/>
        <v>1.2923076923076924E-2</v>
      </c>
      <c r="AE19" s="35">
        <f t="shared" si="0"/>
        <v>3.3846153846153845E-2</v>
      </c>
      <c r="AF19" s="35">
        <f t="shared" si="0"/>
        <v>9.2307692307692305E-4</v>
      </c>
      <c r="AG19" s="35">
        <f t="shared" si="0"/>
        <v>5.2307692307692312E-2</v>
      </c>
      <c r="AH19" s="35">
        <f t="shared" si="0"/>
        <v>5.7846153846153845</v>
      </c>
      <c r="AI19" s="35">
        <f t="shared" si="0"/>
        <v>2.1538461538461537</v>
      </c>
      <c r="AJ19" s="35">
        <f t="shared" si="0"/>
        <v>7.384615384615385</v>
      </c>
      <c r="AK19" s="35">
        <f t="shared" si="0"/>
        <v>0.92307692307692313</v>
      </c>
      <c r="AL19" s="35">
        <f t="shared" si="0"/>
        <v>9.2307692307692299E-2</v>
      </c>
      <c r="AM19" s="35">
        <f t="shared" si="0"/>
        <v>0</v>
      </c>
      <c r="AN19" s="35">
        <f t="shared" si="0"/>
        <v>1.1692307692307693E-2</v>
      </c>
      <c r="AO19" s="35">
        <f t="shared" si="0"/>
        <v>1.5692307692307693E-2</v>
      </c>
      <c r="AP19" s="35">
        <f t="shared" si="0"/>
        <v>2.5538461538461541E-2</v>
      </c>
      <c r="AQ19" s="35">
        <f t="shared" si="0"/>
        <v>2.0615384615384615E-2</v>
      </c>
      <c r="AR19" s="35">
        <f t="shared" si="0"/>
        <v>6.4615384615384621E-3</v>
      </c>
      <c r="AS19" s="35">
        <f t="shared" si="0"/>
        <v>2.4615384615384616E-3</v>
      </c>
      <c r="AT19" s="35">
        <f t="shared" si="0"/>
        <v>1.2615384615384615E-2</v>
      </c>
      <c r="AU19" s="35">
        <f t="shared" si="0"/>
        <v>1.2615384615384615E-2</v>
      </c>
      <c r="AV19" s="35">
        <f t="shared" si="0"/>
        <v>1.7538461538461537E-2</v>
      </c>
      <c r="AW19" s="35">
        <f t="shared" si="0"/>
        <v>9.5384615384615391E-3</v>
      </c>
      <c r="AX19" s="35">
        <f t="shared" si="0"/>
        <v>8.9230769230769242E-3</v>
      </c>
      <c r="AY19" s="35">
        <f t="shared" si="0"/>
        <v>1.9692307692307693E-2</v>
      </c>
      <c r="AZ19" s="35">
        <f t="shared" si="0"/>
        <v>5.4769230769230764E-2</v>
      </c>
      <c r="BA19" s="35">
        <f t="shared" si="0"/>
        <v>5.5384615384615381E-3</v>
      </c>
      <c r="BB19" s="35">
        <f t="shared" si="0"/>
        <v>2.523076923076923E-2</v>
      </c>
      <c r="BC19" s="35">
        <f t="shared" si="0"/>
        <v>1.4153846153846154E-2</v>
      </c>
      <c r="BD19" s="35">
        <f t="shared" si="0"/>
        <v>66.15384615384616</v>
      </c>
      <c r="BE19" s="35">
        <f t="shared" si="0"/>
        <v>15.815384615384614</v>
      </c>
    </row>
    <row r="21" spans="1:57" ht="15.6">
      <c r="B21" s="44" t="s">
        <v>390</v>
      </c>
      <c r="F21" s="35">
        <f>SUM(F6:F20)</f>
        <v>105.81153846153848</v>
      </c>
      <c r="G21" s="35">
        <f t="shared" ref="G21:BE21" si="1">SUM(G6:G20)</f>
        <v>251.29384615384612</v>
      </c>
      <c r="H21" s="35">
        <f t="shared" si="1"/>
        <v>472.21846153846155</v>
      </c>
      <c r="I21" s="35">
        <f t="shared" si="1"/>
        <v>6.3492307692307683</v>
      </c>
      <c r="J21" s="35">
        <f t="shared" si="1"/>
        <v>4204.6153846153848</v>
      </c>
      <c r="K21" s="35">
        <f t="shared" si="1"/>
        <v>307.76846153846157</v>
      </c>
      <c r="L21" s="35">
        <f t="shared" si="1"/>
        <v>56.400000000000006</v>
      </c>
      <c r="M21" s="35">
        <f t="shared" si="1"/>
        <v>47.41615384615384</v>
      </c>
      <c r="N21" s="35">
        <f t="shared" si="1"/>
        <v>398.61538461538464</v>
      </c>
      <c r="O21" s="35">
        <f t="shared" si="1"/>
        <v>917.38461538461536</v>
      </c>
      <c r="P21" s="35">
        <f t="shared" si="1"/>
        <v>3213.3846153846152</v>
      </c>
      <c r="Q21" s="35">
        <f t="shared" si="1"/>
        <v>1965.8461538461538</v>
      </c>
      <c r="R21" s="35">
        <f t="shared" si="1"/>
        <v>7.5976923076923075</v>
      </c>
      <c r="S21" s="35">
        <f t="shared" si="1"/>
        <v>3.4970000000000008</v>
      </c>
      <c r="T21" s="35">
        <f t="shared" si="1"/>
        <v>6.84</v>
      </c>
      <c r="U21" s="35">
        <f t="shared" si="1"/>
        <v>103.80769230769231</v>
      </c>
      <c r="V21" s="35">
        <f t="shared" si="1"/>
        <v>877.46153846153845</v>
      </c>
      <c r="W21" s="35">
        <f t="shared" si="1"/>
        <v>4.493846153846154</v>
      </c>
      <c r="X21" s="35">
        <f t="shared" si="1"/>
        <v>0</v>
      </c>
      <c r="Y21" s="35">
        <f t="shared" si="1"/>
        <v>0</v>
      </c>
      <c r="Z21" s="35">
        <f t="shared" si="1"/>
        <v>28</v>
      </c>
      <c r="AA21" s="35">
        <f t="shared" si="1"/>
        <v>2.6</v>
      </c>
      <c r="AB21" s="35">
        <f t="shared" si="1"/>
        <v>0.9985384615384616</v>
      </c>
      <c r="AC21" s="35">
        <f t="shared" si="1"/>
        <v>1.8694615384615381</v>
      </c>
      <c r="AD21" s="35">
        <f t="shared" si="1"/>
        <v>4.2869230769230775</v>
      </c>
      <c r="AE21" s="35">
        <f t="shared" si="1"/>
        <v>1.2838461538461539</v>
      </c>
      <c r="AF21" s="35">
        <f t="shared" si="1"/>
        <v>1.182923076923077</v>
      </c>
      <c r="AG21" s="35">
        <f t="shared" si="1"/>
        <v>0.54230769230769227</v>
      </c>
      <c r="AH21" s="35">
        <f t="shared" si="1"/>
        <v>116.98461538461538</v>
      </c>
      <c r="AI21" s="35">
        <f t="shared" si="1"/>
        <v>14.853846153846153</v>
      </c>
      <c r="AJ21" s="35">
        <f t="shared" si="1"/>
        <v>265.38461538461536</v>
      </c>
      <c r="AK21" s="35">
        <f t="shared" si="1"/>
        <v>234.92307692307693</v>
      </c>
      <c r="AL21" s="35">
        <f t="shared" si="1"/>
        <v>0.99230769230769222</v>
      </c>
      <c r="AM21" s="35">
        <f t="shared" si="1"/>
        <v>0.34</v>
      </c>
      <c r="AN21" s="35">
        <f t="shared" si="1"/>
        <v>1.2416923076923077</v>
      </c>
      <c r="AO21" s="35">
        <f t="shared" si="1"/>
        <v>1.3166923076923078</v>
      </c>
      <c r="AP21" s="35">
        <f t="shared" si="1"/>
        <v>2.4485384615384618</v>
      </c>
      <c r="AQ21" s="35">
        <f t="shared" si="1"/>
        <v>0.93561538461538463</v>
      </c>
      <c r="AR21" s="35">
        <f t="shared" si="1"/>
        <v>0.49946153846153846</v>
      </c>
      <c r="AS21" s="35">
        <f t="shared" si="1"/>
        <v>0.42646153846153845</v>
      </c>
      <c r="AT21" s="35">
        <f t="shared" si="1"/>
        <v>1.4756153846153848</v>
      </c>
      <c r="AU21" s="35">
        <f t="shared" si="1"/>
        <v>0.86561538461538456</v>
      </c>
      <c r="AV21" s="35">
        <f t="shared" si="1"/>
        <v>1.5805384615384617</v>
      </c>
      <c r="AW21" s="35">
        <f t="shared" si="1"/>
        <v>4.5965384615384615</v>
      </c>
      <c r="AX21" s="35">
        <f t="shared" si="1"/>
        <v>1.4299230769230769</v>
      </c>
      <c r="AY21" s="35">
        <f t="shared" si="1"/>
        <v>3.7416923076923077</v>
      </c>
      <c r="AZ21" s="35">
        <f t="shared" si="1"/>
        <v>5.8647692307692303</v>
      </c>
      <c r="BA21" s="35">
        <f t="shared" si="1"/>
        <v>1.6555384615384614</v>
      </c>
      <c r="BB21" s="35">
        <f t="shared" si="1"/>
        <v>1.5192307692307689</v>
      </c>
      <c r="BC21" s="35">
        <f t="shared" si="1"/>
        <v>1.9281538461538463</v>
      </c>
      <c r="BD21" s="35">
        <f t="shared" si="1"/>
        <v>281.15384615384619</v>
      </c>
      <c r="BE21" s="35">
        <f t="shared" si="1"/>
        <v>87.136384615384614</v>
      </c>
    </row>
    <row r="22" spans="1:57" ht="15.6">
      <c r="B22" s="44" t="s">
        <v>391</v>
      </c>
      <c r="F22" s="35">
        <f>F21/15</f>
        <v>7.054102564102565</v>
      </c>
      <c r="G22" s="35">
        <f t="shared" ref="G22:BE22" si="2">G21/15</f>
        <v>16.752923076923075</v>
      </c>
      <c r="H22" s="35">
        <f t="shared" si="2"/>
        <v>31.48123076923077</v>
      </c>
      <c r="I22" s="35">
        <f t="shared" si="2"/>
        <v>0.42328205128205121</v>
      </c>
      <c r="J22" s="35">
        <f t="shared" si="2"/>
        <v>280.30769230769232</v>
      </c>
      <c r="K22" s="35">
        <f t="shared" si="2"/>
        <v>20.517897435897439</v>
      </c>
      <c r="L22" s="35">
        <f t="shared" si="2"/>
        <v>3.7600000000000002</v>
      </c>
      <c r="M22" s="35">
        <f t="shared" si="2"/>
        <v>3.1610769230769225</v>
      </c>
      <c r="N22" s="35">
        <f t="shared" si="2"/>
        <v>26.574358974358976</v>
      </c>
      <c r="O22" s="35">
        <f t="shared" si="2"/>
        <v>61.158974358974355</v>
      </c>
      <c r="P22" s="35">
        <f t="shared" si="2"/>
        <v>214.22564102564101</v>
      </c>
      <c r="Q22" s="35">
        <f t="shared" si="2"/>
        <v>131.05641025641026</v>
      </c>
      <c r="R22" s="35">
        <f t="shared" si="2"/>
        <v>0.50651282051282054</v>
      </c>
      <c r="S22" s="35">
        <f t="shared" si="2"/>
        <v>0.23313333333333339</v>
      </c>
      <c r="T22" s="35">
        <f t="shared" si="2"/>
        <v>0.45600000000000002</v>
      </c>
      <c r="U22" s="35">
        <f t="shared" si="2"/>
        <v>6.9205128205128208</v>
      </c>
      <c r="V22" s="35">
        <f t="shared" si="2"/>
        <v>58.497435897435899</v>
      </c>
      <c r="W22" s="35">
        <f t="shared" si="2"/>
        <v>0.29958974358974361</v>
      </c>
      <c r="X22" s="35">
        <f t="shared" si="2"/>
        <v>0</v>
      </c>
      <c r="Y22" s="35">
        <f t="shared" si="2"/>
        <v>0</v>
      </c>
      <c r="Z22" s="35">
        <f t="shared" si="2"/>
        <v>1.8666666666666667</v>
      </c>
      <c r="AA22" s="35">
        <f t="shared" si="2"/>
        <v>0.17333333333333334</v>
      </c>
      <c r="AB22" s="35">
        <f t="shared" si="2"/>
        <v>6.6569230769230769E-2</v>
      </c>
      <c r="AC22" s="35">
        <f t="shared" si="2"/>
        <v>0.1246307692307692</v>
      </c>
      <c r="AD22" s="35">
        <f t="shared" si="2"/>
        <v>0.28579487179487184</v>
      </c>
      <c r="AE22" s="35">
        <f t="shared" si="2"/>
        <v>8.5589743589743597E-2</v>
      </c>
      <c r="AF22" s="35">
        <f t="shared" si="2"/>
        <v>7.8861538461538469E-2</v>
      </c>
      <c r="AG22" s="35">
        <f t="shared" si="2"/>
        <v>3.6153846153846154E-2</v>
      </c>
      <c r="AH22" s="35">
        <f t="shared" si="2"/>
        <v>7.798974358974359</v>
      </c>
      <c r="AI22" s="35">
        <f t="shared" si="2"/>
        <v>0.9902564102564102</v>
      </c>
      <c r="AJ22" s="35">
        <f t="shared" si="2"/>
        <v>17.69230769230769</v>
      </c>
      <c r="AK22" s="35">
        <f t="shared" si="2"/>
        <v>15.661538461538463</v>
      </c>
      <c r="AL22" s="35">
        <f t="shared" si="2"/>
        <v>6.6153846153846146E-2</v>
      </c>
      <c r="AM22" s="35">
        <f t="shared" si="2"/>
        <v>2.2666666666666668E-2</v>
      </c>
      <c r="AN22" s="35">
        <f t="shared" si="2"/>
        <v>8.2779487179487174E-2</v>
      </c>
      <c r="AO22" s="35">
        <f t="shared" si="2"/>
        <v>8.7779487179487192E-2</v>
      </c>
      <c r="AP22" s="35">
        <f t="shared" si="2"/>
        <v>0.16323589743589745</v>
      </c>
      <c r="AQ22" s="35">
        <f t="shared" si="2"/>
        <v>6.2374358974358973E-2</v>
      </c>
      <c r="AR22" s="35">
        <f t="shared" si="2"/>
        <v>3.3297435897435897E-2</v>
      </c>
      <c r="AS22" s="35">
        <f t="shared" si="2"/>
        <v>2.8430769230769228E-2</v>
      </c>
      <c r="AT22" s="35">
        <f t="shared" si="2"/>
        <v>9.8374358974358991E-2</v>
      </c>
      <c r="AU22" s="35">
        <f t="shared" si="2"/>
        <v>5.7707692307692307E-2</v>
      </c>
      <c r="AV22" s="35">
        <f t="shared" si="2"/>
        <v>0.10536923076923078</v>
      </c>
      <c r="AW22" s="35">
        <f t="shared" si="2"/>
        <v>0.30643589743589744</v>
      </c>
      <c r="AX22" s="35">
        <f t="shared" si="2"/>
        <v>9.5328205128205126E-2</v>
      </c>
      <c r="AY22" s="35">
        <f t="shared" si="2"/>
        <v>0.24944615384615385</v>
      </c>
      <c r="AZ22" s="35">
        <f t="shared" si="2"/>
        <v>0.39098461538461537</v>
      </c>
      <c r="BA22" s="35">
        <f t="shared" si="2"/>
        <v>0.11036923076923076</v>
      </c>
      <c r="BB22" s="35">
        <f t="shared" si="2"/>
        <v>0.10128205128205127</v>
      </c>
      <c r="BC22" s="35">
        <f t="shared" si="2"/>
        <v>0.12854358974358976</v>
      </c>
      <c r="BD22" s="35">
        <f t="shared" si="2"/>
        <v>18.743589743589745</v>
      </c>
      <c r="BE22" s="35">
        <f t="shared" si="2"/>
        <v>5.8090923076923078</v>
      </c>
    </row>
  </sheetData>
  <mergeCells count="1">
    <mergeCell ref="C1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V156"/>
  <sheetViews>
    <sheetView workbookViewId="0">
      <selection activeCell="A121" sqref="A121"/>
    </sheetView>
  </sheetViews>
  <sheetFormatPr defaultRowHeight="12.6"/>
  <cols>
    <col min="2" max="2" width="21.44140625" customWidth="1"/>
  </cols>
  <sheetData>
    <row r="1" spans="1:62" s="51" customFormat="1" ht="30" customHeight="1">
      <c r="A1" s="105"/>
      <c r="C1" s="50"/>
      <c r="D1" s="50" t="s">
        <v>318</v>
      </c>
      <c r="E1" s="98" t="s">
        <v>317</v>
      </c>
      <c r="F1" s="51" t="s">
        <v>123</v>
      </c>
      <c r="G1" s="51" t="s">
        <v>124</v>
      </c>
      <c r="H1" s="51" t="s">
        <v>125</v>
      </c>
      <c r="I1" s="51" t="s">
        <v>128</v>
      </c>
      <c r="J1" s="51" t="s">
        <v>141</v>
      </c>
      <c r="K1" s="51" t="s">
        <v>173</v>
      </c>
      <c r="L1" s="51" t="s">
        <v>126</v>
      </c>
      <c r="M1" s="51" t="s">
        <v>150</v>
      </c>
      <c r="N1" s="51" t="s">
        <v>156</v>
      </c>
      <c r="O1" s="51" t="s">
        <v>163</v>
      </c>
      <c r="P1" s="51" t="s">
        <v>164</v>
      </c>
      <c r="Q1" s="51" t="s">
        <v>170</v>
      </c>
      <c r="R1" s="51" t="s">
        <v>189</v>
      </c>
      <c r="S1" s="51" t="s">
        <v>137</v>
      </c>
      <c r="T1" s="51" t="s">
        <v>158</v>
      </c>
      <c r="U1" s="51" t="s">
        <v>168</v>
      </c>
      <c r="V1" s="51" t="s">
        <v>166</v>
      </c>
      <c r="W1" s="51" t="s">
        <v>187</v>
      </c>
      <c r="X1" s="51" t="s">
        <v>185</v>
      </c>
      <c r="Y1" s="51" t="s">
        <v>138</v>
      </c>
      <c r="Z1" s="51" t="s">
        <v>211</v>
      </c>
      <c r="AA1" s="51" t="s">
        <v>184</v>
      </c>
      <c r="AB1" s="51" t="s">
        <v>212</v>
      </c>
      <c r="AC1" s="51" t="s">
        <v>213</v>
      </c>
      <c r="AD1" s="51" t="s">
        <v>160</v>
      </c>
      <c r="AE1" s="51" t="s">
        <v>161</v>
      </c>
      <c r="AF1" s="51" t="s">
        <v>214</v>
      </c>
      <c r="AG1" s="51" t="s">
        <v>215</v>
      </c>
      <c r="AH1" s="51" t="s">
        <v>216</v>
      </c>
      <c r="AI1" s="51" t="s">
        <v>188</v>
      </c>
      <c r="AJ1" s="51" t="s">
        <v>131</v>
      </c>
      <c r="AK1" s="51" t="s">
        <v>143</v>
      </c>
      <c r="AL1" s="51" t="s">
        <v>130</v>
      </c>
      <c r="AM1" s="51" t="s">
        <v>177</v>
      </c>
      <c r="AN1" s="51" t="s">
        <v>176</v>
      </c>
      <c r="AO1" s="51" t="s">
        <v>151</v>
      </c>
      <c r="AP1" s="51" t="s">
        <v>152</v>
      </c>
      <c r="AQ1" s="51" t="s">
        <v>155</v>
      </c>
      <c r="AR1" s="51" t="s">
        <v>217</v>
      </c>
      <c r="AS1" s="51" t="s">
        <v>139</v>
      </c>
      <c r="AT1" s="51" t="s">
        <v>162</v>
      </c>
      <c r="AU1" s="51" t="s">
        <v>178</v>
      </c>
      <c r="AV1" s="51" t="s">
        <v>218</v>
      </c>
      <c r="AW1" s="51" t="s">
        <v>135</v>
      </c>
      <c r="AX1" s="51" t="s">
        <v>127</v>
      </c>
      <c r="AY1" s="51" t="s">
        <v>129</v>
      </c>
      <c r="AZ1" s="51" t="s">
        <v>147</v>
      </c>
      <c r="BA1" s="51" t="s">
        <v>148</v>
      </c>
      <c r="BB1" s="51" t="s">
        <v>165</v>
      </c>
      <c r="BC1" s="51" t="s">
        <v>169</v>
      </c>
      <c r="BD1" s="51" t="s">
        <v>134</v>
      </c>
      <c r="BE1" s="51" t="s">
        <v>142</v>
      </c>
      <c r="BF1" s="44"/>
      <c r="BI1" s="44"/>
      <c r="BJ1" s="44"/>
    </row>
    <row r="2" spans="1:62">
      <c r="A2" t="s">
        <v>375</v>
      </c>
    </row>
    <row r="3" spans="1:62" s="44" customFormat="1" ht="15" customHeight="1">
      <c r="A3" s="98">
        <v>2706925</v>
      </c>
      <c r="B3" s="44" t="s">
        <v>259</v>
      </c>
      <c r="C3" s="77" t="s">
        <v>11</v>
      </c>
      <c r="D3" s="50"/>
      <c r="E3" s="98">
        <v>40</v>
      </c>
      <c r="F3" s="64">
        <v>17.8</v>
      </c>
      <c r="G3" s="64">
        <v>7.36</v>
      </c>
      <c r="H3" s="64">
        <v>25.67</v>
      </c>
      <c r="I3" s="64">
        <v>0</v>
      </c>
      <c r="J3" s="66">
        <v>243</v>
      </c>
      <c r="K3" s="44">
        <v>2.94</v>
      </c>
      <c r="L3" s="44">
        <v>3</v>
      </c>
      <c r="M3" s="44">
        <v>2.96</v>
      </c>
      <c r="N3" s="44">
        <v>42</v>
      </c>
      <c r="O3" s="44">
        <v>182</v>
      </c>
      <c r="P3" s="44">
        <v>251</v>
      </c>
      <c r="Q3" s="44">
        <v>66</v>
      </c>
      <c r="R3" s="44">
        <v>3.54</v>
      </c>
      <c r="S3" s="44">
        <v>0.14699999999999999</v>
      </c>
      <c r="T3" s="44">
        <v>0</v>
      </c>
      <c r="U3" s="44">
        <v>25</v>
      </c>
      <c r="V3" s="45">
        <v>1</v>
      </c>
      <c r="W3" s="44">
        <v>0.25</v>
      </c>
      <c r="X3" s="44">
        <v>3</v>
      </c>
      <c r="Y3" s="44">
        <v>0</v>
      </c>
      <c r="Z3" s="44">
        <v>36</v>
      </c>
      <c r="AA3" s="44">
        <v>0</v>
      </c>
      <c r="AB3" s="44">
        <v>0.24399999999999999</v>
      </c>
      <c r="AC3" s="44">
        <v>0.19700000000000001</v>
      </c>
      <c r="AD3" s="44">
        <v>5.22</v>
      </c>
      <c r="AE3" s="44">
        <v>0.60099999999999998</v>
      </c>
      <c r="AF3" s="44">
        <v>0.26300000000000001</v>
      </c>
      <c r="AG3" s="45">
        <v>1.1000000000000001</v>
      </c>
      <c r="AH3" s="45">
        <v>48.5</v>
      </c>
      <c r="AI3" s="44">
        <v>3.6</v>
      </c>
      <c r="AJ3" s="44">
        <v>36</v>
      </c>
      <c r="AK3" s="44">
        <v>50</v>
      </c>
      <c r="AL3" s="44">
        <v>7.9</v>
      </c>
      <c r="AM3" s="44">
        <v>0.10199999999999999</v>
      </c>
      <c r="AN3" s="44">
        <v>0.77500000000000002</v>
      </c>
      <c r="AO3" s="44">
        <v>0.88500000000000001</v>
      </c>
      <c r="AP3" s="44">
        <v>1.56</v>
      </c>
      <c r="AQ3" s="44">
        <v>1.6579999999999999</v>
      </c>
      <c r="AR3" s="44">
        <v>0.51500000000000001</v>
      </c>
      <c r="AS3" s="45">
        <v>0.20599999999999999</v>
      </c>
      <c r="AT3" s="44">
        <v>0.78100000000000003</v>
      </c>
      <c r="AU3" s="44">
        <v>0.61599999999999999</v>
      </c>
      <c r="AV3" s="44">
        <v>0.98299999999999998</v>
      </c>
      <c r="AW3" s="44">
        <v>1.302</v>
      </c>
      <c r="AX3" s="44">
        <v>1.2529999999999999</v>
      </c>
      <c r="AY3" s="45">
        <v>1.802</v>
      </c>
      <c r="AZ3" s="44">
        <v>3</v>
      </c>
      <c r="BA3" s="44">
        <v>1.3580000000000001</v>
      </c>
      <c r="BB3" s="44">
        <v>1.02</v>
      </c>
      <c r="BC3" s="44">
        <v>0.80100000000000005</v>
      </c>
      <c r="BD3" s="45">
        <v>38</v>
      </c>
      <c r="BE3" s="44">
        <v>2.5179999999999998</v>
      </c>
      <c r="BF3" s="44" t="str">
        <f>"new food('"&amp;B3&amp;"','"&amp;C3&amp;"','"&amp;D3&amp;"','"&amp;E3&amp;"','"&amp;F3&amp;"','"&amp;G3&amp;"','"&amp;H3&amp;"','"&amp;I3&amp;"','"&amp;J3&amp;"','"&amp;K3&amp;"','"&amp;L3&amp;"','"&amp;M3&amp;"','"&amp;N3&amp;"','"&amp;O3&amp;"','"&amp;P3&amp;"','"&amp;Q3&amp;"','"&amp;R3&amp;"','"&amp;S3&amp;"','"&amp;T3&amp;"','"&amp;U3&amp;"','"&amp;V3&amp;"','"&amp;W3&amp;"','"&amp;X3&amp;"','"&amp;Y3&amp;"','"&amp;Z3&amp;"','"&amp;AA3&amp;"','"&amp;AB3&amp;"','"&amp;AC3&amp;"','"&amp;AD3&amp;"','"&amp;AE3&amp;"','"&amp;AF3&amp;"','"&amp;AG3&amp;"','"&amp;AH3&amp;"','"&amp;AI3&amp;"','"&amp;AJ3&amp;"','"&amp;AK3&amp;"','"&amp;AL3&amp;"','"&amp;AM3&amp;"','"&amp;AN3&amp;"','"&amp;AO3&amp;"','"&amp;AP3&amp;"','"&amp;AQ3&amp;"','"&amp;AR3&amp;"','"&amp;AS3&amp;"','"&amp;AT3&amp;"','"&amp;AU3&amp;"','"&amp;AV3&amp;"','"&amp;AW3&amp;"','"&amp;AX3&amp;"','"&amp;AY3&amp;"','"&amp;AZ3&amp;"','"&amp;BA3&amp;"','"&amp;BB3&amp;"','"&amp;BC3&amp;"','"&amp;BD3&amp;"','"&amp;BE3&amp;"'),"</f>
        <v>new food('Beef ground 90percent lean','Protein','','40','17.8','7.36','25.67','0','243','2.94','3','2.96','42','182','251','66','3.54','0.147','0','25','1','0.25','3','0','36','0','0.244','0.197','5.22','0.601','0.263','1.1','48.5','3.6','36','50','7.9','0.102','0.775','0.885','1.56','1.658','0.515','0.206','0.781','0.616','0.983','1.302','1.253','1.802','3','1.358','1.02','0.801','38','2.518'),</v>
      </c>
    </row>
    <row r="4" spans="1:62" s="44" customFormat="1" ht="15" customHeight="1">
      <c r="A4" s="98">
        <v>2706925</v>
      </c>
      <c r="B4" s="44" t="s">
        <v>259</v>
      </c>
      <c r="C4" s="77" t="s">
        <v>11</v>
      </c>
      <c r="D4" s="50"/>
      <c r="E4" s="98">
        <v>40</v>
      </c>
      <c r="F4" s="64">
        <v>17.8</v>
      </c>
      <c r="G4" s="64">
        <v>7.36</v>
      </c>
      <c r="H4" s="64">
        <v>25.67</v>
      </c>
      <c r="I4" s="64">
        <v>0</v>
      </c>
      <c r="J4" s="66">
        <v>243</v>
      </c>
      <c r="K4" s="44">
        <v>2.94</v>
      </c>
      <c r="L4" s="44">
        <v>3</v>
      </c>
      <c r="M4" s="44">
        <v>2.96</v>
      </c>
      <c r="N4" s="44">
        <v>42</v>
      </c>
      <c r="O4" s="44">
        <v>182</v>
      </c>
      <c r="P4" s="44">
        <v>251</v>
      </c>
      <c r="Q4" s="44">
        <v>66</v>
      </c>
      <c r="R4" s="44">
        <v>3.54</v>
      </c>
      <c r="S4" s="44">
        <v>0.14699999999999999</v>
      </c>
      <c r="T4" s="44">
        <v>0</v>
      </c>
      <c r="U4" s="44">
        <v>25</v>
      </c>
      <c r="V4" s="45">
        <v>1</v>
      </c>
      <c r="W4" s="44">
        <v>0.25</v>
      </c>
      <c r="X4" s="44">
        <v>3</v>
      </c>
      <c r="Y4" s="44">
        <v>0</v>
      </c>
      <c r="Z4" s="44">
        <v>36</v>
      </c>
      <c r="AA4" s="44">
        <v>0</v>
      </c>
      <c r="AB4" s="44">
        <v>0.24399999999999999</v>
      </c>
      <c r="AC4" s="44">
        <v>0.19700000000000001</v>
      </c>
      <c r="AD4" s="44">
        <v>5.22</v>
      </c>
      <c r="AE4" s="44">
        <v>0.60099999999999998</v>
      </c>
      <c r="AF4" s="44">
        <v>0.26300000000000001</v>
      </c>
      <c r="AG4" s="45">
        <v>1.1000000000000001</v>
      </c>
      <c r="AH4" s="45">
        <v>48.5</v>
      </c>
      <c r="AI4" s="44">
        <v>3.6</v>
      </c>
      <c r="AJ4" s="44">
        <v>36</v>
      </c>
      <c r="AK4" s="44">
        <v>50</v>
      </c>
      <c r="AL4" s="44">
        <v>7.9</v>
      </c>
      <c r="AM4" s="44">
        <v>0.10199999999999999</v>
      </c>
      <c r="AN4" s="44">
        <v>0.77500000000000002</v>
      </c>
      <c r="AO4" s="44">
        <v>0.88500000000000001</v>
      </c>
      <c r="AP4" s="44">
        <v>1.56</v>
      </c>
      <c r="AQ4" s="44">
        <v>1.6579999999999999</v>
      </c>
      <c r="AR4" s="44">
        <v>0.51500000000000001</v>
      </c>
      <c r="AS4" s="45">
        <v>0.20599999999999999</v>
      </c>
      <c r="AT4" s="44">
        <v>0.78100000000000003</v>
      </c>
      <c r="AU4" s="44">
        <v>0.61599999999999999</v>
      </c>
      <c r="AV4" s="44">
        <v>0.98299999999999998</v>
      </c>
      <c r="AW4" s="44">
        <v>1.302</v>
      </c>
      <c r="AX4" s="44">
        <v>1.2529999999999999</v>
      </c>
      <c r="AY4" s="45">
        <v>1.802</v>
      </c>
      <c r="AZ4" s="44">
        <v>3</v>
      </c>
      <c r="BA4" s="44">
        <v>1.3580000000000001</v>
      </c>
      <c r="BB4" s="44">
        <v>1.02</v>
      </c>
      <c r="BC4" s="44">
        <v>0.80100000000000005</v>
      </c>
      <c r="BD4" s="45">
        <v>38</v>
      </c>
      <c r="BE4" s="44">
        <v>2.5179999999999998</v>
      </c>
      <c r="BF4" s="44" t="str">
        <f t="shared" ref="BF4:BF12" si="0">"new food('"&amp;B4&amp;"','"&amp;C4&amp;"','"&amp;D4&amp;"','"&amp;E4&amp;"','"&amp;F4&amp;"','"&amp;G4&amp;"','"&amp;H4&amp;"','"&amp;I4&amp;"','"&amp;J4&amp;"','"&amp;K4&amp;"','"&amp;L4&amp;"','"&amp;M4&amp;"','"&amp;N4&amp;"','"&amp;O4&amp;"','"&amp;P4&amp;"','"&amp;Q4&amp;"','"&amp;R4&amp;"','"&amp;S4&amp;"','"&amp;T4&amp;"','"&amp;U4&amp;"','"&amp;V4&amp;"','"&amp;W4&amp;"','"&amp;X4&amp;"','"&amp;Y4&amp;"','"&amp;Z4&amp;"','"&amp;AA4&amp;"','"&amp;AB4&amp;"','"&amp;AC4&amp;"','"&amp;AD4&amp;"','"&amp;AE4&amp;"','"&amp;AF4&amp;"','"&amp;AG4&amp;"','"&amp;AH4&amp;"','"&amp;AI4&amp;"','"&amp;AJ4&amp;"','"&amp;AK4&amp;"','"&amp;AL4&amp;"','"&amp;AM4&amp;"','"&amp;AN4&amp;"','"&amp;AO4&amp;"','"&amp;AP4&amp;"','"&amp;AQ4&amp;"','"&amp;AR4&amp;"','"&amp;AS4&amp;"','"&amp;AT4&amp;"','"&amp;AU4&amp;"','"&amp;AV4&amp;"','"&amp;AW4&amp;"','"&amp;AX4&amp;"','"&amp;AY4&amp;"','"&amp;AZ4&amp;"','"&amp;BA4&amp;"','"&amp;BB4&amp;"','"&amp;BC4&amp;"','"&amp;BD4&amp;"','"&amp;BE4&amp;"'),"</f>
        <v>new food('Beef ground 90percent lean','Protein','','40','17.8','7.36','25.67','0','243','2.94','3','2.96','42','182','251','66','3.54','0.147','0','25','1','0.25','3','0','36','0','0.244','0.197','5.22','0.601','0.263','1.1','48.5','3.6','36','50','7.9','0.102','0.775','0.885','1.56','1.658','0.515','0.206','0.781','0.616','0.983','1.302','1.253','1.802','3','1.358','1.02','0.801','38','2.518'),</v>
      </c>
    </row>
    <row r="5" spans="1:62" s="44" customFormat="1" ht="15" customHeight="1">
      <c r="A5" s="98">
        <v>2706925</v>
      </c>
      <c r="B5" s="44" t="s">
        <v>259</v>
      </c>
      <c r="C5" s="77" t="s">
        <v>11</v>
      </c>
      <c r="D5" s="50"/>
      <c r="E5" s="98">
        <v>40</v>
      </c>
      <c r="F5" s="64">
        <v>17.8</v>
      </c>
      <c r="G5" s="64">
        <v>7.36</v>
      </c>
      <c r="H5" s="64">
        <v>25.67</v>
      </c>
      <c r="I5" s="64">
        <v>0</v>
      </c>
      <c r="J5" s="66">
        <v>243</v>
      </c>
      <c r="K5" s="44">
        <v>2.94</v>
      </c>
      <c r="L5" s="44">
        <v>3</v>
      </c>
      <c r="M5" s="44">
        <v>2.96</v>
      </c>
      <c r="N5" s="44">
        <v>42</v>
      </c>
      <c r="O5" s="44">
        <v>182</v>
      </c>
      <c r="P5" s="44">
        <v>251</v>
      </c>
      <c r="Q5" s="44">
        <v>66</v>
      </c>
      <c r="R5" s="44">
        <v>3.54</v>
      </c>
      <c r="S5" s="44">
        <v>0.14699999999999999</v>
      </c>
      <c r="T5" s="44">
        <v>0</v>
      </c>
      <c r="U5" s="44">
        <v>25</v>
      </c>
      <c r="V5" s="45">
        <v>1</v>
      </c>
      <c r="W5" s="44">
        <v>0.25</v>
      </c>
      <c r="X5" s="44">
        <v>3</v>
      </c>
      <c r="Y5" s="44">
        <v>0</v>
      </c>
      <c r="Z5" s="44">
        <v>36</v>
      </c>
      <c r="AA5" s="44">
        <v>0</v>
      </c>
      <c r="AB5" s="44">
        <v>0.24399999999999999</v>
      </c>
      <c r="AC5" s="44">
        <v>0.19700000000000001</v>
      </c>
      <c r="AD5" s="44">
        <v>5.22</v>
      </c>
      <c r="AE5" s="44">
        <v>0.60099999999999998</v>
      </c>
      <c r="AF5" s="44">
        <v>0.26300000000000001</v>
      </c>
      <c r="AG5" s="45">
        <v>1.1000000000000001</v>
      </c>
      <c r="AH5" s="45">
        <v>48.5</v>
      </c>
      <c r="AI5" s="44">
        <v>3.6</v>
      </c>
      <c r="AJ5" s="44">
        <v>36</v>
      </c>
      <c r="AK5" s="44">
        <v>50</v>
      </c>
      <c r="AL5" s="44">
        <v>7.9</v>
      </c>
      <c r="AM5" s="44">
        <v>0.10199999999999999</v>
      </c>
      <c r="AN5" s="44">
        <v>0.77500000000000002</v>
      </c>
      <c r="AO5" s="44">
        <v>0.88500000000000001</v>
      </c>
      <c r="AP5" s="44">
        <v>1.56</v>
      </c>
      <c r="AQ5" s="44">
        <v>1.6579999999999999</v>
      </c>
      <c r="AR5" s="44">
        <v>0.51500000000000001</v>
      </c>
      <c r="AS5" s="45">
        <v>0.20599999999999999</v>
      </c>
      <c r="AT5" s="44">
        <v>0.78100000000000003</v>
      </c>
      <c r="AU5" s="44">
        <v>0.61599999999999999</v>
      </c>
      <c r="AV5" s="44">
        <v>0.98299999999999998</v>
      </c>
      <c r="AW5" s="44">
        <v>1.302</v>
      </c>
      <c r="AX5" s="44">
        <v>1.2529999999999999</v>
      </c>
      <c r="AY5" s="45">
        <v>1.802</v>
      </c>
      <c r="AZ5" s="44">
        <v>3</v>
      </c>
      <c r="BA5" s="44">
        <v>1.3580000000000001</v>
      </c>
      <c r="BB5" s="44">
        <v>1.02</v>
      </c>
      <c r="BC5" s="44">
        <v>0.80100000000000005</v>
      </c>
      <c r="BD5" s="45">
        <v>38</v>
      </c>
      <c r="BE5" s="44">
        <v>2.5179999999999998</v>
      </c>
      <c r="BF5" s="44" t="str">
        <f t="shared" si="0"/>
        <v>new food('Beef ground 90percent lean','Protein','','40','17.8','7.36','25.67','0','243','2.94','3','2.96','42','182','251','66','3.54','0.147','0','25','1','0.25','3','0','36','0','0.244','0.197','5.22','0.601','0.263','1.1','48.5','3.6','36','50','7.9','0.102','0.775','0.885','1.56','1.658','0.515','0.206','0.781','0.616','0.983','1.302','1.253','1.802','3','1.358','1.02','0.801','38','2.518'),</v>
      </c>
    </row>
    <row r="6" spans="1:62" s="44" customFormat="1" ht="15" customHeight="1">
      <c r="A6" s="97">
        <v>169732</v>
      </c>
      <c r="B6" s="61" t="s">
        <v>98</v>
      </c>
      <c r="C6" s="50" t="s">
        <v>279</v>
      </c>
      <c r="D6" s="60" t="s">
        <v>221</v>
      </c>
      <c r="E6" s="97">
        <v>160</v>
      </c>
      <c r="F6" s="56">
        <v>4.54</v>
      </c>
      <c r="G6" s="63">
        <v>2.0699999999999998</v>
      </c>
      <c r="H6" s="57">
        <v>25.16</v>
      </c>
      <c r="I6" s="61">
        <v>0.5</v>
      </c>
      <c r="J6" s="56">
        <v>138</v>
      </c>
      <c r="K6" s="56">
        <v>0.4</v>
      </c>
      <c r="L6" s="56">
        <v>1.2</v>
      </c>
      <c r="M6" s="61">
        <v>1.47</v>
      </c>
      <c r="N6" s="63">
        <v>21</v>
      </c>
      <c r="O6" s="63">
        <v>76</v>
      </c>
      <c r="P6" s="63">
        <v>38</v>
      </c>
      <c r="Q6" s="63">
        <v>5</v>
      </c>
      <c r="R6" s="61">
        <v>0.65</v>
      </c>
      <c r="S6" s="56">
        <v>9.8000000000000004E-2</v>
      </c>
      <c r="T6" s="63">
        <v>0.315</v>
      </c>
      <c r="U6" s="63">
        <v>23.9</v>
      </c>
      <c r="V6" s="63">
        <v>0</v>
      </c>
      <c r="W6" s="61">
        <v>0.17</v>
      </c>
      <c r="X6" s="61">
        <v>4</v>
      </c>
      <c r="Y6" s="57">
        <v>0</v>
      </c>
      <c r="Z6" s="63">
        <v>38</v>
      </c>
      <c r="AA6" s="63">
        <v>0</v>
      </c>
      <c r="AB6" s="63">
        <v>0.28899999999999998</v>
      </c>
      <c r="AC6" s="63">
        <v>0.13600000000000001</v>
      </c>
      <c r="AD6" s="56">
        <v>2.077</v>
      </c>
      <c r="AE6" s="56">
        <v>0.26300000000000001</v>
      </c>
      <c r="AF6" s="56">
        <v>4.5999999999999999E-2</v>
      </c>
      <c r="AG6" s="56">
        <v>0.09</v>
      </c>
      <c r="AH6" s="61">
        <v>25.7</v>
      </c>
      <c r="AI6" s="63">
        <v>0</v>
      </c>
      <c r="AJ6" s="63">
        <v>12</v>
      </c>
      <c r="AK6" s="61">
        <v>84</v>
      </c>
      <c r="AL6" s="61">
        <v>19.2</v>
      </c>
      <c r="AM6" s="56">
        <v>4.2999999999999997E-2</v>
      </c>
      <c r="AN6" s="56">
        <v>0.13800000000000001</v>
      </c>
      <c r="AO6" s="56">
        <v>0.19</v>
      </c>
      <c r="AP6" s="57">
        <v>0.36499999999999999</v>
      </c>
      <c r="AQ6" s="56">
        <v>0.13700000000000001</v>
      </c>
      <c r="AR6" s="56">
        <v>8.5999999999999993E-2</v>
      </c>
      <c r="AS6" s="63">
        <v>9.6000000000000002E-2</v>
      </c>
      <c r="AT6" s="56">
        <v>0.24</v>
      </c>
      <c r="AU6" s="56">
        <v>9.4E-2</v>
      </c>
      <c r="AV6" s="56">
        <v>0.22</v>
      </c>
      <c r="AW6" s="63">
        <v>0.192</v>
      </c>
      <c r="AX6" s="57">
        <v>0.16500000000000001</v>
      </c>
      <c r="AY6" s="57">
        <v>0.24399999999999999</v>
      </c>
      <c r="AZ6" s="61">
        <v>1.468</v>
      </c>
      <c r="BA6" s="63">
        <v>0.159</v>
      </c>
      <c r="BB6" s="56">
        <v>0.495</v>
      </c>
      <c r="BC6" s="56">
        <v>0.25700000000000001</v>
      </c>
      <c r="BD6" s="63">
        <v>29</v>
      </c>
      <c r="BE6" s="61">
        <v>0.58099999999999996</v>
      </c>
      <c r="BF6" s="44" t="str">
        <f t="shared" si="0"/>
        <v>new food('Noodles egg enriched','Grain','1 cup','160','4.54','2.07','25.16','0.5','138','0.4','1.2','1.47','21','76','38','5','0.65','0.098','0.315','23.9','0','0.17','4','0','38','0','0.289','0.136','2.077','0.263','0.046','0.09','25.7','0','12','84','19.2','0.043','0.138','0.19','0.365','0.137','0.086','0.096','0.24','0.094','0.22','0.192','0.165','0.244','1.468','0.159','0.495','0.257','29','0.581'),</v>
      </c>
    </row>
    <row r="7" spans="1:62" s="44" customFormat="1" ht="15" customHeight="1">
      <c r="A7" s="97">
        <v>169732</v>
      </c>
      <c r="B7" s="61" t="s">
        <v>98</v>
      </c>
      <c r="C7" s="50" t="s">
        <v>279</v>
      </c>
      <c r="D7" s="60" t="s">
        <v>221</v>
      </c>
      <c r="E7" s="97">
        <v>160</v>
      </c>
      <c r="F7" s="56">
        <v>4.54</v>
      </c>
      <c r="G7" s="63">
        <v>2.0699999999999998</v>
      </c>
      <c r="H7" s="57">
        <v>25.16</v>
      </c>
      <c r="I7" s="61">
        <v>0.5</v>
      </c>
      <c r="J7" s="56">
        <v>138</v>
      </c>
      <c r="K7" s="56">
        <v>0.4</v>
      </c>
      <c r="L7" s="56">
        <v>1.2</v>
      </c>
      <c r="M7" s="61">
        <v>1.47</v>
      </c>
      <c r="N7" s="63">
        <v>21</v>
      </c>
      <c r="O7" s="63">
        <v>76</v>
      </c>
      <c r="P7" s="63">
        <v>38</v>
      </c>
      <c r="Q7" s="63">
        <v>5</v>
      </c>
      <c r="R7" s="61">
        <v>0.65</v>
      </c>
      <c r="S7" s="56">
        <v>9.8000000000000004E-2</v>
      </c>
      <c r="T7" s="63">
        <v>0.315</v>
      </c>
      <c r="U7" s="63">
        <v>23.9</v>
      </c>
      <c r="V7" s="63">
        <v>0</v>
      </c>
      <c r="W7" s="61">
        <v>0.17</v>
      </c>
      <c r="X7" s="61">
        <v>4</v>
      </c>
      <c r="Y7" s="57">
        <v>0</v>
      </c>
      <c r="Z7" s="63">
        <v>38</v>
      </c>
      <c r="AA7" s="63">
        <v>0</v>
      </c>
      <c r="AB7" s="63">
        <v>0.28899999999999998</v>
      </c>
      <c r="AC7" s="63">
        <v>0.13600000000000001</v>
      </c>
      <c r="AD7" s="56">
        <v>2.077</v>
      </c>
      <c r="AE7" s="56">
        <v>0.26300000000000001</v>
      </c>
      <c r="AF7" s="56">
        <v>4.5999999999999999E-2</v>
      </c>
      <c r="AG7" s="56">
        <v>0.09</v>
      </c>
      <c r="AH7" s="61">
        <v>25.7</v>
      </c>
      <c r="AI7" s="63">
        <v>0</v>
      </c>
      <c r="AJ7" s="63">
        <v>12</v>
      </c>
      <c r="AK7" s="61">
        <v>84</v>
      </c>
      <c r="AL7" s="61">
        <v>19.2</v>
      </c>
      <c r="AM7" s="56">
        <v>4.2999999999999997E-2</v>
      </c>
      <c r="AN7" s="56">
        <v>0.13800000000000001</v>
      </c>
      <c r="AO7" s="56">
        <v>0.19</v>
      </c>
      <c r="AP7" s="57">
        <v>0.36499999999999999</v>
      </c>
      <c r="AQ7" s="56">
        <v>0.13700000000000001</v>
      </c>
      <c r="AR7" s="56">
        <v>8.5999999999999993E-2</v>
      </c>
      <c r="AS7" s="63">
        <v>9.6000000000000002E-2</v>
      </c>
      <c r="AT7" s="56">
        <v>0.24</v>
      </c>
      <c r="AU7" s="56">
        <v>9.4E-2</v>
      </c>
      <c r="AV7" s="56">
        <v>0.22</v>
      </c>
      <c r="AW7" s="63">
        <v>0.192</v>
      </c>
      <c r="AX7" s="57">
        <v>0.16500000000000001</v>
      </c>
      <c r="AY7" s="57">
        <v>0.24399999999999999</v>
      </c>
      <c r="AZ7" s="61">
        <v>1.468</v>
      </c>
      <c r="BA7" s="63">
        <v>0.159</v>
      </c>
      <c r="BB7" s="56">
        <v>0.495</v>
      </c>
      <c r="BC7" s="56">
        <v>0.25700000000000001</v>
      </c>
      <c r="BD7" s="63">
        <v>29</v>
      </c>
      <c r="BE7" s="61">
        <v>0.58099999999999996</v>
      </c>
      <c r="BF7" s="44" t="str">
        <f t="shared" si="0"/>
        <v>new food('Noodles egg enriched','Grain','1 cup','160','4.54','2.07','25.16','0.5','138','0.4','1.2','1.47','21','76','38','5','0.65','0.098','0.315','23.9','0','0.17','4','0','38','0','0.289','0.136','2.077','0.263','0.046','0.09','25.7','0','12','84','19.2','0.043','0.138','0.19','0.365','0.137','0.086','0.096','0.24','0.094','0.22','0.192','0.165','0.244','1.468','0.159','0.495','0.257','29','0.581'),</v>
      </c>
    </row>
    <row r="8" spans="1:62" s="44" customFormat="1" ht="15" customHeight="1">
      <c r="A8" s="98">
        <v>170457</v>
      </c>
      <c r="B8" s="44" t="s">
        <v>109</v>
      </c>
      <c r="C8" s="50" t="s">
        <v>88</v>
      </c>
      <c r="D8" s="50" t="s">
        <v>221</v>
      </c>
      <c r="E8" s="98">
        <v>180</v>
      </c>
      <c r="F8" s="44">
        <v>0.88</v>
      </c>
      <c r="G8" s="45">
        <v>0.2</v>
      </c>
      <c r="H8" s="44">
        <v>3.89</v>
      </c>
      <c r="I8" s="45">
        <v>0.5</v>
      </c>
      <c r="J8" s="45">
        <v>18</v>
      </c>
      <c r="K8" s="45">
        <v>2.63</v>
      </c>
      <c r="L8" s="44">
        <v>1.2</v>
      </c>
      <c r="M8" s="45">
        <v>2.7E-2</v>
      </c>
      <c r="N8" s="45">
        <v>11</v>
      </c>
      <c r="O8" s="45">
        <v>24</v>
      </c>
      <c r="P8" s="45">
        <v>237</v>
      </c>
      <c r="Q8" s="45">
        <v>5</v>
      </c>
      <c r="R8" s="45">
        <v>0.17</v>
      </c>
      <c r="S8" s="45">
        <v>5.8000000000000003E-2</v>
      </c>
      <c r="T8" s="45">
        <v>0.114</v>
      </c>
      <c r="U8" s="45">
        <v>0</v>
      </c>
      <c r="V8" s="45">
        <v>0</v>
      </c>
      <c r="W8" s="45">
        <v>0.54</v>
      </c>
      <c r="X8" s="45">
        <v>0</v>
      </c>
      <c r="Y8" s="44">
        <v>0</v>
      </c>
      <c r="Z8" s="45">
        <v>123</v>
      </c>
      <c r="AA8" s="45">
        <v>13.7</v>
      </c>
      <c r="AB8" s="45">
        <v>3.6999999999999998E-2</v>
      </c>
      <c r="AC8" s="45">
        <v>1.9E-2</v>
      </c>
      <c r="AD8" s="44">
        <v>0.59399999999999997</v>
      </c>
      <c r="AE8" s="45">
        <v>8.8999999999999996E-2</v>
      </c>
      <c r="AF8" s="44">
        <v>0.08</v>
      </c>
      <c r="AG8" s="45"/>
      <c r="AH8" s="44">
        <v>6.7</v>
      </c>
      <c r="AI8" s="44">
        <v>7.3</v>
      </c>
      <c r="AJ8" s="44">
        <v>10</v>
      </c>
      <c r="AK8" s="44">
        <v>15</v>
      </c>
      <c r="AL8" s="44">
        <v>0.1</v>
      </c>
      <c r="AM8" s="45">
        <v>6.0000000000000001E-3</v>
      </c>
      <c r="AN8" s="45">
        <v>2.7E-2</v>
      </c>
      <c r="AO8" s="45">
        <v>1.7999999999999999E-2</v>
      </c>
      <c r="AP8" s="45">
        <v>2.5000000000000001E-2</v>
      </c>
      <c r="AQ8" s="45">
        <v>2.7E-2</v>
      </c>
      <c r="AR8" s="45">
        <v>6.0000000000000001E-3</v>
      </c>
      <c r="AS8" s="44">
        <v>8.0000000000000002E-3</v>
      </c>
      <c r="AT8" s="45">
        <v>2.7E-2</v>
      </c>
      <c r="AU8" s="45">
        <v>1.4E-2</v>
      </c>
      <c r="AV8" s="45">
        <v>1.7999999999999999E-2</v>
      </c>
      <c r="AW8" s="44">
        <v>2.1000000000000001E-2</v>
      </c>
      <c r="AX8" s="45">
        <v>2.7E-2</v>
      </c>
      <c r="AY8" s="45">
        <v>0.13500000000000001</v>
      </c>
      <c r="AZ8" s="45">
        <v>4.3099999999999999E-2</v>
      </c>
      <c r="BA8" s="45">
        <v>1.9E-2</v>
      </c>
      <c r="BB8" s="45">
        <v>1.4999999999999999E-2</v>
      </c>
      <c r="BC8" s="45">
        <v>2.5999999999999999E-2</v>
      </c>
      <c r="BD8" s="45">
        <v>0</v>
      </c>
      <c r="BE8" s="44">
        <v>3.1E-2</v>
      </c>
      <c r="BF8" s="44" t="str">
        <f t="shared" si="0"/>
        <v>new food('Tomatoes red','Veg','1 cup','180','0.88','0.2','3.89','0.5','18','2.63','1.2','0.027','11','24','237','5','0.17','0.058','0.114','0','0','0.54','0','0','123','13.7','0.037','0.019','0.594','0.089','0.08','','6.7','7.3','10','15','0.1','0.006','0.027','0.018','0.025','0.027','0.006','0.008','0.027','0.014','0.018','0.021','0.027','0.135','0.0431','0.019','0.015','0.026','0','0.031'),</v>
      </c>
    </row>
    <row r="9" spans="1:62" s="44" customFormat="1" ht="15" customHeight="1">
      <c r="A9" s="98">
        <v>170457</v>
      </c>
      <c r="B9" s="44" t="s">
        <v>109</v>
      </c>
      <c r="C9" s="50" t="s">
        <v>88</v>
      </c>
      <c r="D9" s="50" t="s">
        <v>221</v>
      </c>
      <c r="E9" s="98">
        <v>180</v>
      </c>
      <c r="F9" s="44">
        <v>0.88</v>
      </c>
      <c r="G9" s="45">
        <v>0.2</v>
      </c>
      <c r="H9" s="44">
        <v>3.89</v>
      </c>
      <c r="I9" s="45">
        <v>0.5</v>
      </c>
      <c r="J9" s="45">
        <v>18</v>
      </c>
      <c r="K9" s="45">
        <v>2.63</v>
      </c>
      <c r="L9" s="44">
        <v>1.2</v>
      </c>
      <c r="M9" s="45">
        <v>2.7E-2</v>
      </c>
      <c r="N9" s="45">
        <v>11</v>
      </c>
      <c r="O9" s="45">
        <v>24</v>
      </c>
      <c r="P9" s="45">
        <v>237</v>
      </c>
      <c r="Q9" s="45">
        <v>5</v>
      </c>
      <c r="R9" s="45">
        <v>0.17</v>
      </c>
      <c r="S9" s="45">
        <v>5.8000000000000003E-2</v>
      </c>
      <c r="T9" s="45">
        <v>0.114</v>
      </c>
      <c r="U9" s="45">
        <v>0</v>
      </c>
      <c r="V9" s="45">
        <v>0</v>
      </c>
      <c r="W9" s="45">
        <v>0.54</v>
      </c>
      <c r="X9" s="45">
        <v>0</v>
      </c>
      <c r="Y9" s="44">
        <v>0</v>
      </c>
      <c r="Z9" s="45">
        <v>123</v>
      </c>
      <c r="AA9" s="45">
        <v>13.7</v>
      </c>
      <c r="AB9" s="45">
        <v>3.6999999999999998E-2</v>
      </c>
      <c r="AC9" s="45">
        <v>1.9E-2</v>
      </c>
      <c r="AD9" s="44">
        <v>0.59399999999999997</v>
      </c>
      <c r="AE9" s="45">
        <v>8.8999999999999996E-2</v>
      </c>
      <c r="AF9" s="44">
        <v>0.08</v>
      </c>
      <c r="AG9" s="45"/>
      <c r="AH9" s="44">
        <v>6.7</v>
      </c>
      <c r="AI9" s="44">
        <v>7.3</v>
      </c>
      <c r="AJ9" s="44">
        <v>10</v>
      </c>
      <c r="AK9" s="44">
        <v>15</v>
      </c>
      <c r="AL9" s="44">
        <v>0.1</v>
      </c>
      <c r="AM9" s="45">
        <v>6.0000000000000001E-3</v>
      </c>
      <c r="AN9" s="45">
        <v>2.7E-2</v>
      </c>
      <c r="AO9" s="45">
        <v>1.7999999999999999E-2</v>
      </c>
      <c r="AP9" s="45">
        <v>2.5000000000000001E-2</v>
      </c>
      <c r="AQ9" s="45">
        <v>2.7E-2</v>
      </c>
      <c r="AR9" s="45">
        <v>6.0000000000000001E-3</v>
      </c>
      <c r="AS9" s="44">
        <v>8.0000000000000002E-3</v>
      </c>
      <c r="AT9" s="45">
        <v>2.7E-2</v>
      </c>
      <c r="AU9" s="45">
        <v>1.4E-2</v>
      </c>
      <c r="AV9" s="45">
        <v>1.7999999999999999E-2</v>
      </c>
      <c r="AW9" s="44">
        <v>2.1000000000000001E-2</v>
      </c>
      <c r="AX9" s="45">
        <v>2.7E-2</v>
      </c>
      <c r="AY9" s="45">
        <v>0.13500000000000001</v>
      </c>
      <c r="AZ9" s="45">
        <v>4.3099999999999999E-2</v>
      </c>
      <c r="BA9" s="45">
        <v>1.9E-2</v>
      </c>
      <c r="BB9" s="45">
        <v>1.4999999999999999E-2</v>
      </c>
      <c r="BC9" s="45">
        <v>2.5999999999999999E-2</v>
      </c>
      <c r="BD9" s="45">
        <v>0</v>
      </c>
      <c r="BE9" s="44">
        <v>3.1E-2</v>
      </c>
      <c r="BF9" s="44" t="str">
        <f t="shared" si="0"/>
        <v>new food('Tomatoes red','Veg','1 cup','180','0.88','0.2','3.89','0.5','18','2.63','1.2','0.027','11','24','237','5','0.17','0.058','0.114','0','0','0.54','0','0','123','13.7','0.037','0.019','0.594','0.089','0.08','','6.7','7.3','10','15','0.1','0.006','0.027','0.018','0.025','0.027','0.006','0.008','0.027','0.014','0.018','0.021','0.027','0.135','0.0431','0.019','0.015','0.026','0','0.031'),</v>
      </c>
    </row>
    <row r="10" spans="1:62" s="44" customFormat="1" ht="15" customHeight="1">
      <c r="A10" s="98">
        <v>790646</v>
      </c>
      <c r="B10" s="44" t="s">
        <v>305</v>
      </c>
      <c r="C10" s="50" t="s">
        <v>88</v>
      </c>
      <c r="D10" s="60"/>
      <c r="E10" s="110">
        <v>140</v>
      </c>
      <c r="F10" s="62">
        <v>0.83</v>
      </c>
      <c r="G10" s="46">
        <v>0.05</v>
      </c>
      <c r="H10" s="46">
        <v>8.61</v>
      </c>
      <c r="I10" s="62">
        <v>0</v>
      </c>
      <c r="J10" s="46">
        <v>38</v>
      </c>
      <c r="K10" s="46">
        <v>5.82</v>
      </c>
      <c r="L10" s="46">
        <v>1.9</v>
      </c>
      <c r="M10" s="46">
        <v>0.28000000000000003</v>
      </c>
      <c r="N10" s="46">
        <v>9</v>
      </c>
      <c r="O10" s="46">
        <v>34</v>
      </c>
      <c r="P10" s="46">
        <v>182</v>
      </c>
      <c r="Q10" s="46">
        <v>1</v>
      </c>
      <c r="R10" s="46">
        <v>0.2</v>
      </c>
      <c r="S10" s="46">
        <v>3.5000000000000003E-2</v>
      </c>
      <c r="T10" s="46">
        <v>0</v>
      </c>
      <c r="U10" s="46">
        <v>0</v>
      </c>
      <c r="V10" s="46">
        <v>0</v>
      </c>
      <c r="W10" s="46">
        <v>0.02</v>
      </c>
      <c r="X10" s="46">
        <v>0</v>
      </c>
      <c r="Y10" s="46">
        <v>0</v>
      </c>
      <c r="Z10" s="46">
        <v>4</v>
      </c>
      <c r="AA10" s="46">
        <v>8.1999999999999993</v>
      </c>
      <c r="AB10" s="46">
        <v>4.5999999999999999E-2</v>
      </c>
      <c r="AC10" s="46">
        <v>2.7E-2</v>
      </c>
      <c r="AD10" s="46">
        <v>0.11600000000000001</v>
      </c>
      <c r="AE10" s="46">
        <v>0</v>
      </c>
      <c r="AF10" s="46">
        <v>0.12</v>
      </c>
      <c r="AG10" s="46">
        <v>0</v>
      </c>
      <c r="AH10" s="46">
        <v>6.1</v>
      </c>
      <c r="AI10" s="46">
        <v>0.4</v>
      </c>
      <c r="AJ10" s="46">
        <v>19</v>
      </c>
      <c r="AK10" s="46">
        <v>19</v>
      </c>
      <c r="AL10" s="46">
        <v>0</v>
      </c>
      <c r="AM10" s="46">
        <v>0</v>
      </c>
      <c r="AN10" s="46">
        <v>0</v>
      </c>
      <c r="AO10" s="46">
        <v>0</v>
      </c>
      <c r="AP10" s="46">
        <v>0</v>
      </c>
      <c r="AQ10" s="46">
        <v>0</v>
      </c>
      <c r="AR10" s="46">
        <v>0</v>
      </c>
      <c r="AS10" s="46">
        <v>0</v>
      </c>
      <c r="AT10" s="46">
        <v>0</v>
      </c>
      <c r="AU10" s="46">
        <v>0</v>
      </c>
      <c r="AV10" s="46">
        <v>0</v>
      </c>
      <c r="AW10" s="46">
        <v>0</v>
      </c>
      <c r="AX10" s="46">
        <v>0</v>
      </c>
      <c r="AY10" s="46">
        <v>0</v>
      </c>
      <c r="AZ10" s="46">
        <v>0</v>
      </c>
      <c r="BA10" s="46">
        <v>0</v>
      </c>
      <c r="BB10" s="46">
        <v>0</v>
      </c>
      <c r="BC10" s="46">
        <v>0</v>
      </c>
      <c r="BD10" s="46">
        <v>0</v>
      </c>
      <c r="BE10" s="46">
        <v>1.2999999999999999E-2</v>
      </c>
      <c r="BF10" s="44" t="str">
        <f t="shared" si="0"/>
        <v>new food('Onions yellow','Veg','','140','0.83','0.05','8.61','0','38','5.82','1.9','0.28','9','34','182','1','0.2','0.035','0','0','0','0.02','0','0','4','8.2','0.046','0.027','0.116','0','0.12','0','6.1','0.4','19','19','0','0','0','0','0','0','0','0','0','0','0','0','0','0','0','0','0','0','0','0.013'),</v>
      </c>
    </row>
    <row r="11" spans="1:62" s="44" customFormat="1" ht="15" customHeight="1">
      <c r="A11" s="98">
        <v>169215</v>
      </c>
      <c r="B11" s="44" t="s">
        <v>104</v>
      </c>
      <c r="C11" s="50" t="s">
        <v>88</v>
      </c>
      <c r="D11" s="50" t="s">
        <v>228</v>
      </c>
      <c r="E11" s="98">
        <v>482</v>
      </c>
      <c r="F11" s="45">
        <v>1.74</v>
      </c>
      <c r="G11" s="45">
        <v>0.42</v>
      </c>
      <c r="H11" s="44">
        <v>18.13</v>
      </c>
      <c r="I11" s="44">
        <v>0.98</v>
      </c>
      <c r="J11" s="45">
        <v>72</v>
      </c>
      <c r="K11" s="45">
        <v>3.23</v>
      </c>
      <c r="L11" s="45">
        <v>1.2</v>
      </c>
      <c r="M11" s="44">
        <v>0.38</v>
      </c>
      <c r="N11" s="44">
        <v>17</v>
      </c>
      <c r="O11" s="44">
        <v>51</v>
      </c>
      <c r="P11" s="44">
        <v>134</v>
      </c>
      <c r="Q11" s="44">
        <v>261</v>
      </c>
      <c r="R11" s="45">
        <v>0.53</v>
      </c>
      <c r="S11" s="45">
        <v>5.1999999999999998E-2</v>
      </c>
      <c r="T11" s="45">
        <v>6.8000000000000005E-2</v>
      </c>
      <c r="U11" s="45">
        <v>0.04</v>
      </c>
      <c r="V11" s="44">
        <v>0</v>
      </c>
      <c r="W11" s="44">
        <v>7.0000000000000007E-2</v>
      </c>
      <c r="X11" s="44">
        <v>0</v>
      </c>
      <c r="Y11" s="44">
        <v>6</v>
      </c>
      <c r="Z11" s="44">
        <v>949</v>
      </c>
      <c r="AA11" s="44">
        <v>4.5999999999999996</v>
      </c>
      <c r="AB11" s="44">
        <v>2.5000000000000001E-2</v>
      </c>
      <c r="AC11" s="44">
        <v>5.2999999999999999E-2</v>
      </c>
      <c r="AD11" s="44">
        <v>0.96</v>
      </c>
      <c r="AE11" s="45">
        <v>0.18</v>
      </c>
      <c r="AF11" s="45">
        <v>6.3E-2</v>
      </c>
      <c r="AG11" s="44">
        <v>0</v>
      </c>
      <c r="AH11" s="45">
        <v>20.3</v>
      </c>
      <c r="AI11" s="44">
        <v>0</v>
      </c>
      <c r="AJ11" s="45">
        <v>3</v>
      </c>
      <c r="AK11" s="45">
        <v>45</v>
      </c>
      <c r="AL11" s="45">
        <v>0</v>
      </c>
      <c r="AM11" s="45">
        <v>1.2E-2</v>
      </c>
      <c r="AN11" s="44">
        <v>7.0000000000000007E-2</v>
      </c>
      <c r="AO11" s="44">
        <v>7.0000000000000007E-2</v>
      </c>
      <c r="AP11" s="44">
        <v>0.188</v>
      </c>
      <c r="AQ11" s="44">
        <v>7.3999999999999996E-2</v>
      </c>
      <c r="AR11" s="44">
        <v>3.5999999999999997E-2</v>
      </c>
      <c r="AS11" s="45">
        <v>1.4E-2</v>
      </c>
      <c r="AT11" s="44">
        <v>8.1000000000000003E-2</v>
      </c>
      <c r="AU11" s="44">
        <v>6.6000000000000003E-2</v>
      </c>
      <c r="AV11" s="44">
        <v>0.1</v>
      </c>
      <c r="AW11" s="45">
        <v>7.0999999999999994E-2</v>
      </c>
      <c r="AX11" s="44">
        <v>0.159</v>
      </c>
      <c r="AY11" s="44">
        <v>0.13200000000000001</v>
      </c>
      <c r="AZ11" s="44">
        <v>0.34300000000000003</v>
      </c>
      <c r="BA11" s="45">
        <v>6.8000000000000005E-2</v>
      </c>
      <c r="BB11" s="45">
        <v>0.158</v>
      </c>
      <c r="BC11" s="45">
        <v>8.3000000000000004E-2</v>
      </c>
      <c r="BD11" s="44">
        <v>0</v>
      </c>
      <c r="BE11" s="44">
        <v>0.123</v>
      </c>
      <c r="BF11" s="44" t="str">
        <f t="shared" si="0"/>
        <v>new food('Corn sweet yellow canned cream style','Veg','1 can','482','1.74','0.42','18.13','0.98','72','3.23','1.2','0.38','17','51','134','261','0.53','0.052','0.068','0.04','0','0.07','0','6','949','4.6','0.025','0.053','0.96','0.18','0.063','0','20.3','0','3','45','0','0.012','0.07','0.07','0.188','0.074','0.036','0.014','0.081','0.066','0.1','0.071','0.159','0.132','0.343','0.068','0.158','0.083','0','0.123'),</v>
      </c>
    </row>
    <row r="12" spans="1:62" s="44" customFormat="1" ht="15" customHeight="1">
      <c r="A12" s="100">
        <v>2342243</v>
      </c>
      <c r="B12" s="64" t="s">
        <v>287</v>
      </c>
      <c r="C12" s="83" t="s">
        <v>311</v>
      </c>
      <c r="D12" s="84" t="s">
        <v>277</v>
      </c>
      <c r="E12" s="112">
        <v>120</v>
      </c>
      <c r="F12" s="56">
        <v>13.97</v>
      </c>
      <c r="G12" s="56">
        <v>18.760000000000002</v>
      </c>
      <c r="H12" s="45">
        <v>2.8</v>
      </c>
      <c r="I12" s="44">
        <v>0</v>
      </c>
      <c r="J12" s="63">
        <v>235</v>
      </c>
      <c r="K12" s="56">
        <v>2.1</v>
      </c>
      <c r="L12" s="65">
        <v>0.4</v>
      </c>
      <c r="M12" s="65">
        <v>0.51</v>
      </c>
      <c r="N12" s="65">
        <v>15</v>
      </c>
      <c r="O12" s="56">
        <v>131</v>
      </c>
      <c r="P12" s="56">
        <v>206</v>
      </c>
      <c r="Q12" s="56">
        <v>480</v>
      </c>
      <c r="R12" s="56">
        <v>0.88</v>
      </c>
      <c r="S12" s="45">
        <v>4.9000000000000002E-2</v>
      </c>
      <c r="T12" s="56">
        <v>0</v>
      </c>
      <c r="U12" s="56">
        <v>12.7</v>
      </c>
      <c r="V12" s="56">
        <v>7</v>
      </c>
      <c r="W12" s="56">
        <v>0.98</v>
      </c>
      <c r="X12" s="63">
        <v>0</v>
      </c>
      <c r="Y12" s="45">
        <v>18</v>
      </c>
      <c r="Z12" s="56">
        <v>82</v>
      </c>
      <c r="AA12" s="56">
        <v>0.8</v>
      </c>
      <c r="AB12" s="56">
        <v>4.2000000000000003E-2</v>
      </c>
      <c r="AC12" s="56">
        <v>0.111</v>
      </c>
      <c r="AD12" s="56">
        <v>3.9409999999999998</v>
      </c>
      <c r="AE12" s="56">
        <v>0</v>
      </c>
      <c r="AF12" s="56">
        <v>0.14499999999999999</v>
      </c>
      <c r="AG12" s="65">
        <v>0.21</v>
      </c>
      <c r="AH12" s="64">
        <v>42.4</v>
      </c>
      <c r="AI12" s="65">
        <v>45.1</v>
      </c>
      <c r="AJ12" s="45">
        <v>13</v>
      </c>
      <c r="AK12" s="65">
        <v>13</v>
      </c>
      <c r="AL12" s="64">
        <v>0</v>
      </c>
      <c r="AM12" s="65">
        <v>0</v>
      </c>
      <c r="AN12" s="56">
        <v>0</v>
      </c>
      <c r="AO12" s="56">
        <v>0</v>
      </c>
      <c r="AP12" s="56">
        <v>0</v>
      </c>
      <c r="AQ12" s="56">
        <v>0</v>
      </c>
      <c r="AR12" s="56">
        <v>0</v>
      </c>
      <c r="AS12" s="56">
        <v>0</v>
      </c>
      <c r="AT12" s="56">
        <v>0</v>
      </c>
      <c r="AU12" s="56">
        <v>0</v>
      </c>
      <c r="AV12" s="56">
        <v>0</v>
      </c>
      <c r="AW12" s="45">
        <v>0</v>
      </c>
      <c r="AX12" s="45">
        <v>0</v>
      </c>
      <c r="AY12" s="45">
        <v>0</v>
      </c>
      <c r="AZ12" s="56">
        <v>0</v>
      </c>
      <c r="BA12" s="56">
        <v>0</v>
      </c>
      <c r="BB12" s="56">
        <v>0</v>
      </c>
      <c r="BC12" s="56">
        <v>8.5489999999999995</v>
      </c>
      <c r="BD12" s="65">
        <v>66</v>
      </c>
      <c r="BE12" s="56">
        <v>4.8739999999999997</v>
      </c>
      <c r="BF12" s="44" t="str">
        <f t="shared" si="0"/>
        <v>new food('Celery','Ingred','1 T','120','13.97','18.76','2.8','0','235','2.1','0.4','0.51','15','131','206','480','0.88','0.049','0','12.7','7','0.98','0','18','82','0.8','0.042','0.111','3.941','0','0.145','0.21','42.4','45.1','13','13','0','0','0','0','0','0','0','0','0','0','0','0','0','0','0','0','0','8.549','66','4.874'),</v>
      </c>
    </row>
    <row r="14" spans="1:62" s="35" customFormat="1" ht="15.6">
      <c r="B14" s="46" t="s">
        <v>319</v>
      </c>
      <c r="E14" s="35">
        <f>SUM(E3:E12)/6</f>
        <v>257</v>
      </c>
      <c r="F14" s="35">
        <f t="shared" ref="F14:BE14" si="1">SUM(F3:F12)/6</f>
        <v>13.463333333333333</v>
      </c>
      <c r="G14" s="35">
        <f t="shared" si="1"/>
        <v>7.6416666666666684</v>
      </c>
      <c r="H14" s="35">
        <f t="shared" si="1"/>
        <v>27.441666666666663</v>
      </c>
      <c r="I14" s="35">
        <f t="shared" si="1"/>
        <v>0.49666666666666665</v>
      </c>
      <c r="J14" s="35">
        <f t="shared" si="1"/>
        <v>231</v>
      </c>
      <c r="K14" s="35">
        <f t="shared" si="1"/>
        <v>4.3383333333333338</v>
      </c>
      <c r="L14" s="35">
        <f t="shared" si="1"/>
        <v>2.8833333333333329</v>
      </c>
      <c r="M14" s="35">
        <f t="shared" si="1"/>
        <v>2.1739999999999999</v>
      </c>
      <c r="N14" s="35">
        <f t="shared" si="1"/>
        <v>38.5</v>
      </c>
      <c r="O14" s="35">
        <f t="shared" si="1"/>
        <v>160.33333333333334</v>
      </c>
      <c r="P14" s="35">
        <f t="shared" si="1"/>
        <v>304.16666666666669</v>
      </c>
      <c r="Q14" s="35">
        <f t="shared" si="1"/>
        <v>160</v>
      </c>
      <c r="R14" s="35">
        <f t="shared" si="1"/>
        <v>2.311666666666667</v>
      </c>
      <c r="S14" s="35">
        <f t="shared" si="1"/>
        <v>0.1481666666666667</v>
      </c>
      <c r="T14" s="35">
        <f t="shared" si="1"/>
        <v>0.15433333333333332</v>
      </c>
      <c r="U14" s="35">
        <f t="shared" si="1"/>
        <v>22.590000000000003</v>
      </c>
      <c r="V14" s="35">
        <f t="shared" si="1"/>
        <v>1.6666666666666667</v>
      </c>
      <c r="W14" s="35">
        <f t="shared" si="1"/>
        <v>0.53999999999999992</v>
      </c>
      <c r="X14" s="35">
        <f t="shared" si="1"/>
        <v>2.8333333333333335</v>
      </c>
      <c r="Y14" s="35">
        <f t="shared" si="1"/>
        <v>4</v>
      </c>
      <c r="Z14" s="35">
        <f t="shared" si="1"/>
        <v>244.16666666666666</v>
      </c>
      <c r="AA14" s="35">
        <f t="shared" si="1"/>
        <v>6.8333333333333321</v>
      </c>
      <c r="AB14" s="35">
        <f t="shared" si="1"/>
        <v>0.24949999999999994</v>
      </c>
      <c r="AC14" s="35">
        <f t="shared" si="1"/>
        <v>0.18200000000000002</v>
      </c>
      <c r="AD14" s="35">
        <f t="shared" si="1"/>
        <v>4.3365</v>
      </c>
      <c r="AE14" s="35">
        <f t="shared" si="1"/>
        <v>0.44783333333333331</v>
      </c>
      <c r="AF14" s="35">
        <f t="shared" si="1"/>
        <v>0.22816666666666666</v>
      </c>
      <c r="AG14" s="35">
        <f t="shared" si="1"/>
        <v>0.61499999999999999</v>
      </c>
      <c r="AH14" s="35">
        <f t="shared" si="1"/>
        <v>46.516666666666659</v>
      </c>
      <c r="AI14" s="35">
        <f t="shared" si="1"/>
        <v>11.816666666666668</v>
      </c>
      <c r="AJ14" s="35">
        <f t="shared" si="1"/>
        <v>31.166666666666668</v>
      </c>
      <c r="AK14" s="35">
        <f t="shared" si="1"/>
        <v>70.833333333333329</v>
      </c>
      <c r="AL14" s="35">
        <f t="shared" si="1"/>
        <v>10.383333333333335</v>
      </c>
      <c r="AM14" s="35">
        <f t="shared" si="1"/>
        <v>6.933333333333333E-2</v>
      </c>
      <c r="AN14" s="35">
        <f t="shared" si="1"/>
        <v>0.45416666666666666</v>
      </c>
      <c r="AO14" s="35">
        <f t="shared" si="1"/>
        <v>0.52349999999999997</v>
      </c>
      <c r="AP14" s="35">
        <f t="shared" si="1"/>
        <v>0.94133333333333347</v>
      </c>
      <c r="AQ14" s="35">
        <f t="shared" si="1"/>
        <v>0.89600000000000024</v>
      </c>
      <c r="AR14" s="35">
        <f t="shared" si="1"/>
        <v>0.29416666666666669</v>
      </c>
      <c r="AS14" s="35">
        <f t="shared" si="1"/>
        <v>0.13999999999999999</v>
      </c>
      <c r="AT14" s="35">
        <f t="shared" si="1"/>
        <v>0.4930000000000001</v>
      </c>
      <c r="AU14" s="35">
        <f t="shared" si="1"/>
        <v>0.35499999999999993</v>
      </c>
      <c r="AV14" s="35">
        <f t="shared" si="1"/>
        <v>0.58750000000000002</v>
      </c>
      <c r="AW14" s="35">
        <f t="shared" si="1"/>
        <v>0.73383333333333323</v>
      </c>
      <c r="AX14" s="35">
        <f t="shared" si="1"/>
        <v>0.71699999999999997</v>
      </c>
      <c r="AY14" s="35">
        <f t="shared" si="1"/>
        <v>1.0493333333333332</v>
      </c>
      <c r="AZ14" s="35">
        <f t="shared" si="1"/>
        <v>2.0608666666666671</v>
      </c>
      <c r="BA14" s="35">
        <f t="shared" si="1"/>
        <v>0.74966666666666659</v>
      </c>
      <c r="BB14" s="35">
        <f t="shared" si="1"/>
        <v>0.70633333333333326</v>
      </c>
      <c r="BC14" s="35">
        <f t="shared" si="1"/>
        <v>1.9334999999999998</v>
      </c>
      <c r="BD14" s="35">
        <f t="shared" si="1"/>
        <v>39.666666666666664</v>
      </c>
      <c r="BE14" s="35">
        <f t="shared" si="1"/>
        <v>2.298</v>
      </c>
    </row>
    <row r="15" spans="1:62" ht="15.6">
      <c r="D15" t="s">
        <v>320</v>
      </c>
      <c r="E15">
        <v>257</v>
      </c>
      <c r="F15">
        <v>13.46</v>
      </c>
      <c r="G15">
        <v>7.64</v>
      </c>
      <c r="H15" s="46">
        <v>27.44</v>
      </c>
      <c r="I15" s="44">
        <v>0.5</v>
      </c>
      <c r="J15">
        <v>231</v>
      </c>
      <c r="K15">
        <v>4.34</v>
      </c>
      <c r="L15">
        <v>2.88</v>
      </c>
      <c r="M15">
        <v>2.17</v>
      </c>
      <c r="N15">
        <v>38.5</v>
      </c>
      <c r="O15">
        <v>160.33000000000001</v>
      </c>
      <c r="P15">
        <v>304.17</v>
      </c>
      <c r="Q15">
        <v>160</v>
      </c>
      <c r="R15">
        <v>2.31</v>
      </c>
      <c r="S15" s="46">
        <v>0.15</v>
      </c>
      <c r="T15">
        <v>0.15</v>
      </c>
      <c r="U15">
        <v>22.59</v>
      </c>
      <c r="V15">
        <v>1.67</v>
      </c>
      <c r="W15">
        <v>0.54</v>
      </c>
      <c r="X15">
        <v>2.83</v>
      </c>
      <c r="Y15" s="46">
        <v>4</v>
      </c>
      <c r="Z15">
        <v>244.17</v>
      </c>
      <c r="AA15">
        <v>6.83</v>
      </c>
      <c r="AB15">
        <v>0.25</v>
      </c>
      <c r="AC15">
        <v>0.18</v>
      </c>
      <c r="AD15">
        <v>4.34</v>
      </c>
      <c r="AE15">
        <v>0.45</v>
      </c>
      <c r="AF15">
        <v>0.23</v>
      </c>
      <c r="AG15">
        <v>0.62</v>
      </c>
      <c r="AH15" s="46">
        <v>46.52</v>
      </c>
      <c r="AI15">
        <v>11.82</v>
      </c>
      <c r="AJ15" s="46">
        <v>31.17</v>
      </c>
      <c r="AK15">
        <v>70.83</v>
      </c>
      <c r="AL15" s="46">
        <v>10.38</v>
      </c>
      <c r="AM15">
        <v>7.0000000000000007E-2</v>
      </c>
      <c r="AN15">
        <v>0.45</v>
      </c>
      <c r="AO15">
        <v>0.52</v>
      </c>
      <c r="AP15">
        <v>0.94</v>
      </c>
      <c r="AQ15">
        <v>0.9</v>
      </c>
      <c r="AR15">
        <v>0.28999999999999998</v>
      </c>
      <c r="AS15">
        <v>0.14000000000000001</v>
      </c>
      <c r="AT15">
        <v>0.49</v>
      </c>
      <c r="AU15">
        <v>0.36</v>
      </c>
      <c r="AV15">
        <v>0.59</v>
      </c>
      <c r="AW15" s="46">
        <v>0.73</v>
      </c>
      <c r="AX15" s="46">
        <v>0.72</v>
      </c>
      <c r="AY15" s="46">
        <v>1.05</v>
      </c>
      <c r="AZ15">
        <v>2.06</v>
      </c>
      <c r="BA15">
        <v>0.75</v>
      </c>
      <c r="BB15">
        <v>0.71</v>
      </c>
      <c r="BC15">
        <v>1.93</v>
      </c>
      <c r="BD15">
        <v>39.67</v>
      </c>
      <c r="BE15">
        <v>2.2999999999999998</v>
      </c>
    </row>
    <row r="26" spans="1:58">
      <c r="A26" t="s">
        <v>374</v>
      </c>
    </row>
    <row r="27" spans="1:58" s="44" customFormat="1" ht="15" customHeight="1">
      <c r="A27" s="98">
        <v>2706482</v>
      </c>
      <c r="B27" s="44" t="s">
        <v>259</v>
      </c>
      <c r="C27" s="77" t="s">
        <v>11</v>
      </c>
      <c r="D27" s="50" t="s">
        <v>322</v>
      </c>
      <c r="E27" s="44">
        <v>420</v>
      </c>
      <c r="F27" s="62">
        <v>8.74</v>
      </c>
      <c r="G27" s="46">
        <v>3.93</v>
      </c>
      <c r="H27" s="46">
        <v>10.67</v>
      </c>
      <c r="I27" s="44">
        <v>0</v>
      </c>
      <c r="J27" s="46">
        <v>115</v>
      </c>
      <c r="K27" s="46">
        <v>2.02</v>
      </c>
      <c r="L27" s="46">
        <v>0.04</v>
      </c>
      <c r="M27" s="46">
        <v>1.17</v>
      </c>
      <c r="N27" s="46">
        <v>11</v>
      </c>
      <c r="O27" s="46">
        <v>68</v>
      </c>
      <c r="P27" s="46">
        <v>114</v>
      </c>
      <c r="Q27" s="46">
        <v>274</v>
      </c>
      <c r="R27" s="46">
        <v>1.82</v>
      </c>
      <c r="S27" s="46">
        <v>0.05</v>
      </c>
      <c r="T27" s="46">
        <v>0</v>
      </c>
      <c r="U27" s="46">
        <v>9.4</v>
      </c>
      <c r="V27" s="46">
        <v>7</v>
      </c>
      <c r="W27" s="46">
        <v>0.17</v>
      </c>
      <c r="X27" s="46">
        <v>0</v>
      </c>
      <c r="Y27" s="46">
        <v>0</v>
      </c>
      <c r="Z27" s="46">
        <v>4</v>
      </c>
      <c r="AA27" s="46">
        <v>0.1</v>
      </c>
      <c r="AB27" s="46">
        <v>8.8999999999999996E-2</v>
      </c>
      <c r="AC27" s="46">
        <v>0.11</v>
      </c>
      <c r="AD27" s="46">
        <v>1.67</v>
      </c>
      <c r="AE27" s="46">
        <v>0</v>
      </c>
      <c r="AF27" s="46">
        <v>7.0000000000000007E-2</v>
      </c>
      <c r="AG27" s="46">
        <v>0.53</v>
      </c>
      <c r="AH27" s="46">
        <v>23.4</v>
      </c>
      <c r="AI27" s="46">
        <v>2.1</v>
      </c>
      <c r="AJ27" s="46">
        <v>2</v>
      </c>
      <c r="AK27" s="46">
        <v>20</v>
      </c>
      <c r="AL27" s="46">
        <v>0</v>
      </c>
      <c r="AM27" s="46">
        <v>0</v>
      </c>
      <c r="AN27" s="46">
        <v>0</v>
      </c>
      <c r="AO27" s="46">
        <v>0</v>
      </c>
      <c r="AP27" s="46">
        <v>0</v>
      </c>
      <c r="AQ27" s="46">
        <v>0</v>
      </c>
      <c r="AR27" s="46">
        <v>0</v>
      </c>
      <c r="AS27" s="46">
        <v>0</v>
      </c>
      <c r="AT27" s="46">
        <v>0</v>
      </c>
      <c r="AU27" s="46">
        <v>0</v>
      </c>
      <c r="AV27" s="46">
        <v>0</v>
      </c>
      <c r="AW27" s="46">
        <v>0</v>
      </c>
      <c r="AX27" s="46">
        <v>0</v>
      </c>
      <c r="AY27" s="46">
        <v>0</v>
      </c>
      <c r="AZ27" s="46">
        <v>0</v>
      </c>
      <c r="BA27" s="46">
        <v>0</v>
      </c>
      <c r="BB27" s="46">
        <v>0</v>
      </c>
      <c r="BC27" s="46">
        <v>0</v>
      </c>
      <c r="BD27" s="46">
        <v>23</v>
      </c>
      <c r="BE27" s="46">
        <v>1.55</v>
      </c>
    </row>
    <row r="28" spans="1:58" s="44" customFormat="1" ht="15" customHeight="1">
      <c r="A28" s="98">
        <v>170457</v>
      </c>
      <c r="B28" s="44" t="s">
        <v>109</v>
      </c>
      <c r="C28" s="50" t="s">
        <v>88</v>
      </c>
      <c r="D28" s="50" t="s">
        <v>221</v>
      </c>
      <c r="E28" s="44">
        <v>180</v>
      </c>
      <c r="F28" s="44">
        <v>0.88</v>
      </c>
      <c r="G28" s="45">
        <v>0.2</v>
      </c>
      <c r="H28" s="44">
        <v>3.89</v>
      </c>
      <c r="I28" s="45">
        <v>0.5</v>
      </c>
      <c r="J28" s="45">
        <v>18</v>
      </c>
      <c r="K28" s="45">
        <v>2.63</v>
      </c>
      <c r="L28" s="44">
        <v>1.2</v>
      </c>
      <c r="M28" s="45">
        <v>2.7E-2</v>
      </c>
      <c r="N28" s="45">
        <v>11</v>
      </c>
      <c r="O28" s="45">
        <v>24</v>
      </c>
      <c r="P28" s="45">
        <v>237</v>
      </c>
      <c r="Q28" s="45">
        <v>5</v>
      </c>
      <c r="R28" s="45">
        <v>0.17</v>
      </c>
      <c r="S28" s="45">
        <v>5.8000000000000003E-2</v>
      </c>
      <c r="T28" s="45">
        <v>0.114</v>
      </c>
      <c r="U28" s="45">
        <v>0</v>
      </c>
      <c r="V28" s="45">
        <v>0</v>
      </c>
      <c r="W28" s="45">
        <v>0.54</v>
      </c>
      <c r="X28" s="45">
        <v>0</v>
      </c>
      <c r="Y28" s="44">
        <v>0</v>
      </c>
      <c r="Z28" s="45">
        <v>123</v>
      </c>
      <c r="AA28" s="45">
        <v>13.7</v>
      </c>
      <c r="AB28" s="45">
        <v>3.6999999999999998E-2</v>
      </c>
      <c r="AC28" s="45">
        <v>1.9E-2</v>
      </c>
      <c r="AD28" s="44">
        <v>0.59399999999999997</v>
      </c>
      <c r="AE28" s="45">
        <v>8.8999999999999996E-2</v>
      </c>
      <c r="AF28" s="44">
        <v>0.08</v>
      </c>
      <c r="AG28" s="45"/>
      <c r="AH28" s="44">
        <v>6.7</v>
      </c>
      <c r="AI28" s="44">
        <v>7.3</v>
      </c>
      <c r="AJ28" s="44">
        <v>10</v>
      </c>
      <c r="AK28" s="44">
        <v>15</v>
      </c>
      <c r="AL28" s="44">
        <v>0.1</v>
      </c>
      <c r="AM28" s="45">
        <v>6.0000000000000001E-3</v>
      </c>
      <c r="AN28" s="45">
        <v>2.7E-2</v>
      </c>
      <c r="AO28" s="45">
        <v>1.7999999999999999E-2</v>
      </c>
      <c r="AP28" s="45">
        <v>2.5000000000000001E-2</v>
      </c>
      <c r="AQ28" s="45">
        <v>2.7E-2</v>
      </c>
      <c r="AR28" s="45">
        <v>6.0000000000000001E-3</v>
      </c>
      <c r="AS28" s="44">
        <v>8.0000000000000002E-3</v>
      </c>
      <c r="AT28" s="45">
        <v>2.7E-2</v>
      </c>
      <c r="AU28" s="45">
        <v>1.4E-2</v>
      </c>
      <c r="AV28" s="45">
        <v>1.7999999999999999E-2</v>
      </c>
      <c r="AW28" s="44">
        <v>2.1000000000000001E-2</v>
      </c>
      <c r="AX28" s="45">
        <v>2.7E-2</v>
      </c>
      <c r="AY28" s="45">
        <v>0.13500000000000001</v>
      </c>
      <c r="AZ28" s="45">
        <v>4.3099999999999999E-2</v>
      </c>
      <c r="BA28" s="45">
        <v>1.9E-2</v>
      </c>
      <c r="BB28" s="45">
        <v>1.4999999999999999E-2</v>
      </c>
      <c r="BC28" s="45">
        <v>2.5999999999999999E-2</v>
      </c>
      <c r="BD28" s="45">
        <v>0</v>
      </c>
      <c r="BE28" s="44">
        <v>3.1E-2</v>
      </c>
    </row>
    <row r="29" spans="1:58" s="118" customFormat="1">
      <c r="E29" s="119">
        <f>SUM(E27+E28)/6</f>
        <v>100</v>
      </c>
      <c r="F29" s="119">
        <f t="shared" ref="F29:BE29" si="2">SUM(F27+F28)/6</f>
        <v>1.6033333333333335</v>
      </c>
      <c r="G29" s="119">
        <f t="shared" si="2"/>
        <v>0.68833333333333335</v>
      </c>
      <c r="H29" s="119">
        <f t="shared" si="2"/>
        <v>2.4266666666666667</v>
      </c>
      <c r="I29" s="119">
        <f t="shared" si="2"/>
        <v>8.3333333333333329E-2</v>
      </c>
      <c r="J29" s="119">
        <f t="shared" si="2"/>
        <v>22.166666666666668</v>
      </c>
      <c r="K29" s="119">
        <f t="shared" si="2"/>
        <v>0.77500000000000002</v>
      </c>
      <c r="L29" s="119">
        <f t="shared" si="2"/>
        <v>0.20666666666666667</v>
      </c>
      <c r="M29" s="119">
        <f t="shared" si="2"/>
        <v>0.19949999999999998</v>
      </c>
      <c r="N29" s="119">
        <f t="shared" si="2"/>
        <v>3.6666666666666665</v>
      </c>
      <c r="O29" s="119">
        <f t="shared" si="2"/>
        <v>15.333333333333334</v>
      </c>
      <c r="P29" s="119">
        <f t="shared" si="2"/>
        <v>58.5</v>
      </c>
      <c r="Q29" s="119">
        <f t="shared" si="2"/>
        <v>46.5</v>
      </c>
      <c r="R29" s="119">
        <f t="shared" si="2"/>
        <v>0.33166666666666667</v>
      </c>
      <c r="S29" s="119">
        <f t="shared" si="2"/>
        <v>1.8000000000000002E-2</v>
      </c>
      <c r="T29" s="119">
        <f t="shared" si="2"/>
        <v>1.9E-2</v>
      </c>
      <c r="U29" s="119">
        <f t="shared" si="2"/>
        <v>1.5666666666666667</v>
      </c>
      <c r="V29" s="119">
        <f t="shared" si="2"/>
        <v>1.1666666666666667</v>
      </c>
      <c r="W29" s="119">
        <f t="shared" si="2"/>
        <v>0.11833333333333335</v>
      </c>
      <c r="X29" s="119">
        <f t="shared" si="2"/>
        <v>0</v>
      </c>
      <c r="Y29" s="119">
        <f t="shared" si="2"/>
        <v>0</v>
      </c>
      <c r="Z29" s="119">
        <f t="shared" si="2"/>
        <v>21.166666666666668</v>
      </c>
      <c r="AA29" s="119">
        <f t="shared" si="2"/>
        <v>2.2999999999999998</v>
      </c>
      <c r="AB29" s="119">
        <f t="shared" si="2"/>
        <v>2.1000000000000001E-2</v>
      </c>
      <c r="AC29" s="119">
        <f t="shared" si="2"/>
        <v>2.1500000000000002E-2</v>
      </c>
      <c r="AD29" s="119">
        <f t="shared" si="2"/>
        <v>0.3773333333333333</v>
      </c>
      <c r="AE29" s="119">
        <f t="shared" si="2"/>
        <v>1.4833333333333332E-2</v>
      </c>
      <c r="AF29" s="119">
        <f t="shared" si="2"/>
        <v>2.5000000000000005E-2</v>
      </c>
      <c r="AG29" s="119">
        <f t="shared" si="2"/>
        <v>8.8333333333333333E-2</v>
      </c>
      <c r="AH29" s="119">
        <f t="shared" si="2"/>
        <v>5.0166666666666666</v>
      </c>
      <c r="AI29" s="119">
        <f t="shared" si="2"/>
        <v>1.5666666666666667</v>
      </c>
      <c r="AJ29" s="119">
        <f t="shared" si="2"/>
        <v>2</v>
      </c>
      <c r="AK29" s="119">
        <f t="shared" si="2"/>
        <v>5.833333333333333</v>
      </c>
      <c r="AL29" s="119">
        <f t="shared" si="2"/>
        <v>1.6666666666666666E-2</v>
      </c>
      <c r="AM29" s="119">
        <f t="shared" si="2"/>
        <v>1E-3</v>
      </c>
      <c r="AN29" s="119">
        <f t="shared" si="2"/>
        <v>4.4999999999999997E-3</v>
      </c>
      <c r="AO29" s="119">
        <f t="shared" si="2"/>
        <v>2.9999999999999996E-3</v>
      </c>
      <c r="AP29" s="119">
        <f t="shared" si="2"/>
        <v>4.1666666666666666E-3</v>
      </c>
      <c r="AQ29" s="119">
        <f t="shared" si="2"/>
        <v>4.4999999999999997E-3</v>
      </c>
      <c r="AR29" s="119">
        <f t="shared" si="2"/>
        <v>1E-3</v>
      </c>
      <c r="AS29" s="119">
        <f t="shared" si="2"/>
        <v>1.3333333333333333E-3</v>
      </c>
      <c r="AT29" s="119">
        <f t="shared" si="2"/>
        <v>4.4999999999999997E-3</v>
      </c>
      <c r="AU29" s="119">
        <f t="shared" si="2"/>
        <v>2.3333333333333335E-3</v>
      </c>
      <c r="AV29" s="119">
        <f t="shared" si="2"/>
        <v>2.9999999999999996E-3</v>
      </c>
      <c r="AW29" s="119">
        <f t="shared" si="2"/>
        <v>3.5000000000000001E-3</v>
      </c>
      <c r="AX29" s="119">
        <f t="shared" si="2"/>
        <v>4.4999999999999997E-3</v>
      </c>
      <c r="AY29" s="119">
        <f t="shared" si="2"/>
        <v>2.2500000000000003E-2</v>
      </c>
      <c r="AZ29" s="119">
        <f t="shared" si="2"/>
        <v>7.1833333333333332E-3</v>
      </c>
      <c r="BA29" s="119">
        <f t="shared" si="2"/>
        <v>3.1666666666666666E-3</v>
      </c>
      <c r="BB29" s="119">
        <f t="shared" si="2"/>
        <v>2.5000000000000001E-3</v>
      </c>
      <c r="BC29" s="119">
        <f t="shared" si="2"/>
        <v>4.3333333333333331E-3</v>
      </c>
      <c r="BD29" s="119">
        <f t="shared" si="2"/>
        <v>3.8333333333333335</v>
      </c>
      <c r="BE29" s="119">
        <f t="shared" si="2"/>
        <v>0.26350000000000001</v>
      </c>
    </row>
    <row r="30" spans="1:58" ht="15.6">
      <c r="A30" s="98">
        <v>2718454</v>
      </c>
      <c r="B30" s="44" t="s">
        <v>323</v>
      </c>
      <c r="C30" s="50" t="s">
        <v>311</v>
      </c>
      <c r="D30" s="58" t="s">
        <v>324</v>
      </c>
      <c r="E30" s="44">
        <v>27</v>
      </c>
      <c r="F30" s="62">
        <v>1.5</v>
      </c>
      <c r="G30" s="46">
        <v>5.5</v>
      </c>
      <c r="H30" s="46">
        <v>16</v>
      </c>
      <c r="I30" s="44">
        <v>0</v>
      </c>
      <c r="J30" s="46">
        <v>120</v>
      </c>
      <c r="K30" s="46">
        <v>0</v>
      </c>
      <c r="L30" s="46">
        <v>1.75</v>
      </c>
      <c r="M30" s="46">
        <v>0.45</v>
      </c>
      <c r="N30" s="46">
        <v>0</v>
      </c>
      <c r="O30" s="46">
        <v>0</v>
      </c>
      <c r="P30" s="46">
        <v>55</v>
      </c>
      <c r="Q30" s="46">
        <v>97.5</v>
      </c>
      <c r="R30" s="46">
        <v>0</v>
      </c>
      <c r="S30" s="46">
        <v>0</v>
      </c>
      <c r="T30" s="46">
        <v>0</v>
      </c>
      <c r="U30" s="46">
        <v>0</v>
      </c>
      <c r="V30" s="46">
        <v>0</v>
      </c>
      <c r="W30" s="46">
        <v>0</v>
      </c>
      <c r="X30" s="46">
        <v>0</v>
      </c>
      <c r="Y30" s="46">
        <v>0</v>
      </c>
      <c r="Z30" s="46">
        <v>0</v>
      </c>
      <c r="AA30" s="46">
        <v>0</v>
      </c>
      <c r="AB30" s="46">
        <v>0</v>
      </c>
      <c r="AC30" s="46">
        <v>0</v>
      </c>
      <c r="AD30" s="46">
        <v>0</v>
      </c>
      <c r="AE30" s="46">
        <v>0</v>
      </c>
      <c r="AF30" s="46">
        <v>0</v>
      </c>
      <c r="AG30" s="46">
        <v>0</v>
      </c>
      <c r="AH30" s="46">
        <v>0</v>
      </c>
      <c r="AI30" s="46">
        <v>0</v>
      </c>
      <c r="AJ30" s="46">
        <v>25</v>
      </c>
      <c r="AK30" s="46">
        <v>0</v>
      </c>
      <c r="AL30" s="46">
        <v>0</v>
      </c>
      <c r="AM30" s="46">
        <v>0</v>
      </c>
      <c r="AN30" s="46">
        <v>0</v>
      </c>
      <c r="AO30" s="46">
        <v>0</v>
      </c>
      <c r="AP30" s="46">
        <v>0</v>
      </c>
      <c r="AQ30" s="46">
        <v>0</v>
      </c>
      <c r="AR30" s="46">
        <v>0</v>
      </c>
      <c r="AS30" s="46">
        <v>0</v>
      </c>
      <c r="AT30" s="46">
        <v>0</v>
      </c>
      <c r="AU30" s="46">
        <v>0</v>
      </c>
      <c r="AV30" s="46">
        <v>0</v>
      </c>
      <c r="AW30" s="46">
        <v>0</v>
      </c>
      <c r="AX30" s="46">
        <v>0</v>
      </c>
      <c r="AY30" s="46">
        <v>0</v>
      </c>
      <c r="AZ30" s="46">
        <v>0</v>
      </c>
      <c r="BA30" s="46">
        <v>0</v>
      </c>
      <c r="BB30" s="46">
        <v>0</v>
      </c>
      <c r="BC30" s="46">
        <v>0</v>
      </c>
      <c r="BD30" s="46">
        <v>0</v>
      </c>
      <c r="BE30" s="46">
        <v>0</v>
      </c>
      <c r="BF30" s="44"/>
    </row>
    <row r="31" spans="1:58" s="44" customFormat="1" ht="15" customHeight="1">
      <c r="A31" s="99">
        <v>171288</v>
      </c>
      <c r="B31" s="57" t="s">
        <v>113</v>
      </c>
      <c r="C31" s="60" t="s">
        <v>111</v>
      </c>
      <c r="D31" s="60" t="s">
        <v>225</v>
      </c>
      <c r="E31" s="63">
        <v>28</v>
      </c>
      <c r="F31" s="64">
        <v>23.54</v>
      </c>
      <c r="G31" s="64">
        <v>32.14</v>
      </c>
      <c r="H31" s="64">
        <v>0.13</v>
      </c>
      <c r="I31" s="64">
        <v>3.72</v>
      </c>
      <c r="J31" s="44">
        <v>384</v>
      </c>
      <c r="K31" s="45">
        <v>0</v>
      </c>
      <c r="L31" s="86">
        <v>0</v>
      </c>
      <c r="M31" s="44">
        <v>0.59</v>
      </c>
      <c r="N31" s="64">
        <v>25</v>
      </c>
      <c r="O31" s="64">
        <v>438</v>
      </c>
      <c r="P31" s="64">
        <v>85</v>
      </c>
      <c r="Q31" s="86">
        <v>607</v>
      </c>
      <c r="R31" s="86">
        <v>3.01</v>
      </c>
      <c r="S31" s="86">
        <v>2.5000000000000001E-2</v>
      </c>
      <c r="T31" s="86">
        <v>2.1999999999999999E-2</v>
      </c>
      <c r="U31" s="86">
        <v>15</v>
      </c>
      <c r="V31" s="86">
        <v>170</v>
      </c>
      <c r="W31" s="86">
        <v>0.25</v>
      </c>
      <c r="X31" s="86">
        <v>21</v>
      </c>
      <c r="Y31" s="86">
        <v>0</v>
      </c>
      <c r="Z31" s="86">
        <v>0</v>
      </c>
      <c r="AA31" s="86">
        <v>0</v>
      </c>
      <c r="AB31" s="86">
        <v>2.3E-2</v>
      </c>
      <c r="AC31" s="86">
        <v>0.318</v>
      </c>
      <c r="AD31" s="86">
        <v>0.114</v>
      </c>
      <c r="AE31" s="86">
        <v>0.249</v>
      </c>
      <c r="AF31" s="86">
        <v>6.0999999999999999E-2</v>
      </c>
      <c r="AG31" s="45">
        <v>1.23</v>
      </c>
      <c r="AH31" s="56">
        <v>15.7</v>
      </c>
      <c r="AI31" s="45">
        <v>2.5</v>
      </c>
      <c r="AJ31" s="44">
        <v>659</v>
      </c>
      <c r="AK31" s="86">
        <v>13</v>
      </c>
      <c r="AL31" s="44">
        <v>0.2</v>
      </c>
      <c r="AM31" s="66">
        <v>0.35499999999999998</v>
      </c>
      <c r="AN31" s="44">
        <v>0.86899999999999999</v>
      </c>
      <c r="AO31" s="44">
        <v>1.3560000000000001</v>
      </c>
      <c r="AP31" s="45">
        <v>2.17</v>
      </c>
      <c r="AQ31" s="44">
        <v>1.655</v>
      </c>
      <c r="AR31" s="44">
        <v>0.6</v>
      </c>
      <c r="AS31" s="44">
        <v>0.11700000000000001</v>
      </c>
      <c r="AT31" s="44">
        <v>1.2</v>
      </c>
      <c r="AU31" s="44">
        <v>1.127</v>
      </c>
      <c r="AV31" s="45">
        <v>1.5109999999999999</v>
      </c>
      <c r="AW31" s="62">
        <v>0.78500000000000003</v>
      </c>
      <c r="AX31" s="62">
        <v>0.05</v>
      </c>
      <c r="AY31" s="45">
        <v>1.57</v>
      </c>
      <c r="AZ31" s="44">
        <v>5.4029999999999996</v>
      </c>
      <c r="BA31" s="44">
        <v>0.40300000000000002</v>
      </c>
      <c r="BB31" s="44">
        <v>2.58</v>
      </c>
      <c r="BC31" s="44">
        <v>1.198</v>
      </c>
      <c r="BD31" s="61">
        <v>95</v>
      </c>
      <c r="BE31" s="44">
        <v>7.8710000000000004</v>
      </c>
    </row>
    <row r="32" spans="1:58" ht="31.2">
      <c r="A32" s="98">
        <v>5</v>
      </c>
      <c r="B32" s="44" t="s">
        <v>326</v>
      </c>
      <c r="C32" s="50" t="s">
        <v>311</v>
      </c>
      <c r="D32" s="58" t="s">
        <v>327</v>
      </c>
      <c r="E32" s="44">
        <v>36.880000000000003</v>
      </c>
      <c r="F32" s="35">
        <v>0.22</v>
      </c>
      <c r="G32" s="35">
        <v>0.05</v>
      </c>
      <c r="H32" s="35">
        <v>1.43</v>
      </c>
      <c r="I32" s="35">
        <v>0.06</v>
      </c>
      <c r="J32" s="35">
        <v>6.44</v>
      </c>
      <c r="K32" s="35">
        <v>0.95</v>
      </c>
      <c r="L32" s="35">
        <v>0.44</v>
      </c>
      <c r="M32" s="35">
        <v>0.04</v>
      </c>
      <c r="N32" s="35">
        <v>2.88</v>
      </c>
      <c r="O32" s="35">
        <v>6.75</v>
      </c>
      <c r="P32" s="35">
        <v>56.5</v>
      </c>
      <c r="Q32" s="35">
        <v>0.88</v>
      </c>
      <c r="R32" s="35">
        <v>0.04</v>
      </c>
      <c r="S32" s="35">
        <v>0.01</v>
      </c>
      <c r="T32" s="35">
        <v>0.01</v>
      </c>
      <c r="U32" s="35">
        <v>0.03</v>
      </c>
      <c r="V32" s="35">
        <v>0</v>
      </c>
      <c r="W32" s="35">
        <v>0.28999999999999998</v>
      </c>
      <c r="X32" s="35">
        <v>0</v>
      </c>
      <c r="Y32" s="35">
        <v>6.56</v>
      </c>
      <c r="Z32" s="35">
        <v>69.44</v>
      </c>
      <c r="AA32" s="35">
        <v>9.64</v>
      </c>
      <c r="AB32" s="35">
        <v>0.01</v>
      </c>
      <c r="AC32" s="35">
        <v>0.01</v>
      </c>
      <c r="AD32" s="35">
        <v>0.16</v>
      </c>
      <c r="AE32" s="35">
        <v>0.01</v>
      </c>
      <c r="AF32" s="35">
        <v>0.04</v>
      </c>
      <c r="AG32" s="35">
        <v>0</v>
      </c>
      <c r="AH32" s="35">
        <v>1.69</v>
      </c>
      <c r="AI32" s="35">
        <v>2.09</v>
      </c>
      <c r="AJ32" s="35">
        <v>4.13</v>
      </c>
      <c r="AK32" s="35">
        <v>4.75</v>
      </c>
      <c r="AL32" s="35">
        <v>0.01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0.02</v>
      </c>
      <c r="AZ32" s="35">
        <v>0.01</v>
      </c>
      <c r="BA32" s="35">
        <v>0</v>
      </c>
      <c r="BB32" s="35">
        <v>0</v>
      </c>
      <c r="BC32" s="35">
        <v>0</v>
      </c>
      <c r="BD32" s="35">
        <v>0</v>
      </c>
      <c r="BE32" s="35">
        <v>0.01</v>
      </c>
      <c r="BF32" s="44"/>
    </row>
    <row r="33" spans="1:74" ht="15.6">
      <c r="A33" s="98">
        <v>171257</v>
      </c>
      <c r="B33" s="44" t="s">
        <v>328</v>
      </c>
      <c r="C33" s="50" t="s">
        <v>311</v>
      </c>
      <c r="D33" s="58" t="s">
        <v>220</v>
      </c>
      <c r="E33" s="44">
        <v>12</v>
      </c>
      <c r="F33" s="35">
        <v>2.44</v>
      </c>
      <c r="G33" s="35">
        <v>19.350000000000001</v>
      </c>
      <c r="H33" s="35">
        <v>4.63</v>
      </c>
      <c r="I33" s="35">
        <v>0</v>
      </c>
      <c r="J33" s="35">
        <v>198</v>
      </c>
      <c r="K33" s="35">
        <v>3.41</v>
      </c>
      <c r="L33" s="35">
        <v>0</v>
      </c>
      <c r="M33" s="35">
        <v>7.0000000000000007E-2</v>
      </c>
      <c r="N33" s="35">
        <v>10</v>
      </c>
      <c r="O33" s="35">
        <v>76</v>
      </c>
      <c r="P33" s="35">
        <v>125</v>
      </c>
      <c r="Q33" s="35">
        <v>31</v>
      </c>
      <c r="R33" s="35">
        <v>0.33</v>
      </c>
      <c r="S33" s="35">
        <v>1.7999999999999999E-2</v>
      </c>
      <c r="T33" s="35">
        <v>0</v>
      </c>
      <c r="U33" s="35">
        <v>3.7</v>
      </c>
      <c r="V33" s="35">
        <v>121</v>
      </c>
      <c r="W33" s="35">
        <v>0.38</v>
      </c>
      <c r="X33" s="35">
        <v>0</v>
      </c>
      <c r="Y33" s="35">
        <v>1</v>
      </c>
      <c r="Z33" s="35">
        <v>4</v>
      </c>
      <c r="AA33" s="35">
        <v>0.9</v>
      </c>
      <c r="AB33" s="35">
        <v>0.02</v>
      </c>
      <c r="AC33" s="35">
        <v>0.16800000000000001</v>
      </c>
      <c r="AD33" s="35">
        <v>9.2999999999999999E-2</v>
      </c>
      <c r="AE33" s="35">
        <v>0</v>
      </c>
      <c r="AF33" s="35">
        <v>4.1000000000000002E-2</v>
      </c>
      <c r="AG33" s="35">
        <v>0.21</v>
      </c>
      <c r="AH33" s="35">
        <v>19.2</v>
      </c>
      <c r="AI33" s="35">
        <v>1.5</v>
      </c>
      <c r="AJ33" s="35">
        <v>6</v>
      </c>
      <c r="AK33" s="35">
        <v>6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59</v>
      </c>
      <c r="BE33" s="35">
        <v>4.59</v>
      </c>
      <c r="BF33" s="44"/>
    </row>
    <row r="34" spans="1:74" ht="15.6">
      <c r="A34" s="98">
        <v>169248</v>
      </c>
      <c r="B34" s="44" t="s">
        <v>329</v>
      </c>
      <c r="C34" s="50" t="s">
        <v>88</v>
      </c>
      <c r="D34" s="58" t="s">
        <v>221</v>
      </c>
      <c r="E34" s="44">
        <v>72</v>
      </c>
      <c r="F34" s="35">
        <v>0.9</v>
      </c>
      <c r="G34" s="35">
        <v>0.14000000000000001</v>
      </c>
      <c r="H34" s="46">
        <v>2.97</v>
      </c>
      <c r="I34" s="44">
        <v>0</v>
      </c>
      <c r="J34" s="35">
        <v>14</v>
      </c>
      <c r="K34" s="35">
        <v>1.97</v>
      </c>
      <c r="L34" s="35">
        <v>1.2</v>
      </c>
      <c r="M34" s="35">
        <v>0.41</v>
      </c>
      <c r="N34" s="35">
        <v>7</v>
      </c>
      <c r="O34" s="35">
        <v>20</v>
      </c>
      <c r="P34" s="35">
        <v>141</v>
      </c>
      <c r="Q34" s="35">
        <v>10</v>
      </c>
      <c r="R34" s="35">
        <v>0.15</v>
      </c>
      <c r="S34" s="46">
        <v>2.5000000000000001E-2</v>
      </c>
      <c r="T34" s="35">
        <v>0</v>
      </c>
      <c r="U34" s="35">
        <v>0.1</v>
      </c>
      <c r="V34" s="35">
        <v>0</v>
      </c>
      <c r="W34" s="35">
        <v>0.18</v>
      </c>
      <c r="X34" s="35">
        <v>0</v>
      </c>
      <c r="Y34" s="46">
        <v>0</v>
      </c>
      <c r="Z34" s="35">
        <v>277</v>
      </c>
      <c r="AA34" s="35">
        <v>2.8</v>
      </c>
      <c r="AB34" s="35">
        <v>0.04</v>
      </c>
      <c r="AC34" s="35">
        <v>0.03</v>
      </c>
      <c r="AD34" s="35">
        <v>0.12</v>
      </c>
      <c r="AE34" s="35">
        <v>0</v>
      </c>
      <c r="AF34" s="35">
        <v>0.04</v>
      </c>
      <c r="AG34" s="35">
        <v>0</v>
      </c>
      <c r="AH34" s="46">
        <v>6.7</v>
      </c>
      <c r="AI34" s="35">
        <v>24.1</v>
      </c>
      <c r="AJ34" s="46">
        <v>29</v>
      </c>
      <c r="AK34" s="35">
        <v>29</v>
      </c>
      <c r="AL34" s="46">
        <v>0</v>
      </c>
      <c r="AM34" s="35">
        <v>0</v>
      </c>
      <c r="AN34" s="46">
        <v>0</v>
      </c>
      <c r="AO34" s="35">
        <v>0</v>
      </c>
      <c r="AP34" s="46">
        <v>0</v>
      </c>
      <c r="AQ34" s="35">
        <v>0</v>
      </c>
      <c r="AR34" s="46">
        <v>0</v>
      </c>
      <c r="AS34" s="35">
        <v>0</v>
      </c>
      <c r="AT34" s="46">
        <v>0</v>
      </c>
      <c r="AU34" s="35">
        <v>0</v>
      </c>
      <c r="AV34" s="46">
        <v>0</v>
      </c>
      <c r="AW34" s="46">
        <v>0</v>
      </c>
      <c r="AX34" s="46">
        <v>0</v>
      </c>
      <c r="AY34" s="46">
        <v>0</v>
      </c>
      <c r="AZ34" s="46">
        <v>0</v>
      </c>
      <c r="BA34" s="46">
        <v>0</v>
      </c>
      <c r="BB34" s="46">
        <v>0</v>
      </c>
      <c r="BC34" s="46">
        <v>0</v>
      </c>
      <c r="BD34" s="46">
        <v>0</v>
      </c>
      <c r="BE34" s="46">
        <v>7.0000000000000007E-2</v>
      </c>
      <c r="BF34" s="44"/>
    </row>
    <row r="35" spans="1:74"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</row>
    <row r="36" spans="1:74">
      <c r="E36" s="35">
        <f>SUM(E29:E35)</f>
        <v>275.88</v>
      </c>
      <c r="F36" s="35">
        <f t="shared" ref="F36:BE36" si="3">SUM(F29:F35)</f>
        <v>30.20333333333333</v>
      </c>
      <c r="G36" s="35">
        <f t="shared" si="3"/>
        <v>57.868333333333332</v>
      </c>
      <c r="H36" s="35">
        <f t="shared" si="3"/>
        <v>27.586666666666662</v>
      </c>
      <c r="I36" s="35">
        <f t="shared" si="3"/>
        <v>3.8633333333333337</v>
      </c>
      <c r="J36" s="35">
        <f t="shared" si="3"/>
        <v>744.60666666666668</v>
      </c>
      <c r="K36" s="35">
        <f t="shared" si="3"/>
        <v>7.1049999999999995</v>
      </c>
      <c r="L36" s="35">
        <f t="shared" si="3"/>
        <v>3.5966666666666667</v>
      </c>
      <c r="M36" s="35">
        <f t="shared" si="3"/>
        <v>1.7595000000000001</v>
      </c>
      <c r="N36" s="35">
        <f t="shared" si="3"/>
        <v>48.546666666666667</v>
      </c>
      <c r="O36" s="35">
        <f t="shared" si="3"/>
        <v>556.08333333333326</v>
      </c>
      <c r="P36" s="35">
        <f t="shared" si="3"/>
        <v>521</v>
      </c>
      <c r="Q36" s="35">
        <f t="shared" si="3"/>
        <v>792.88</v>
      </c>
      <c r="R36" s="35">
        <f t="shared" si="3"/>
        <v>3.8616666666666664</v>
      </c>
      <c r="S36" s="35">
        <f t="shared" si="3"/>
        <v>9.6000000000000002E-2</v>
      </c>
      <c r="T36" s="35">
        <f t="shared" si="3"/>
        <v>5.0999999999999997E-2</v>
      </c>
      <c r="U36" s="35">
        <f t="shared" si="3"/>
        <v>20.396666666666668</v>
      </c>
      <c r="V36" s="35">
        <f t="shared" si="3"/>
        <v>292.16666666666663</v>
      </c>
      <c r="W36" s="35">
        <f t="shared" si="3"/>
        <v>1.2183333333333333</v>
      </c>
      <c r="X36" s="35">
        <f t="shared" si="3"/>
        <v>21</v>
      </c>
      <c r="Y36" s="35">
        <f t="shared" si="3"/>
        <v>7.56</v>
      </c>
      <c r="Z36" s="35">
        <f t="shared" si="3"/>
        <v>371.60666666666668</v>
      </c>
      <c r="AA36" s="35">
        <f t="shared" si="3"/>
        <v>15.64</v>
      </c>
      <c r="AB36" s="35">
        <f t="shared" si="3"/>
        <v>0.11399999999999999</v>
      </c>
      <c r="AC36" s="35">
        <f t="shared" si="3"/>
        <v>0.5475000000000001</v>
      </c>
      <c r="AD36" s="35">
        <f t="shared" si="3"/>
        <v>0.86433333333333329</v>
      </c>
      <c r="AE36" s="35">
        <f t="shared" si="3"/>
        <v>0.27383333333333332</v>
      </c>
      <c r="AF36" s="35">
        <f t="shared" si="3"/>
        <v>0.20700000000000002</v>
      </c>
      <c r="AG36" s="35">
        <f t="shared" si="3"/>
        <v>1.5283333333333333</v>
      </c>
      <c r="AH36" s="35">
        <f t="shared" si="3"/>
        <v>48.306666666666672</v>
      </c>
      <c r="AI36" s="35">
        <f t="shared" si="3"/>
        <v>31.756666666666668</v>
      </c>
      <c r="AJ36" s="35">
        <f t="shared" si="3"/>
        <v>725.13</v>
      </c>
      <c r="AK36" s="35">
        <f t="shared" si="3"/>
        <v>58.583333333333329</v>
      </c>
      <c r="AL36" s="35">
        <f t="shared" si="3"/>
        <v>0.22666666666666668</v>
      </c>
      <c r="AM36" s="35">
        <f t="shared" si="3"/>
        <v>0.35599999999999998</v>
      </c>
      <c r="AN36" s="35">
        <f t="shared" si="3"/>
        <v>0.87349999999999994</v>
      </c>
      <c r="AO36" s="35">
        <f t="shared" si="3"/>
        <v>1.359</v>
      </c>
      <c r="AP36" s="35">
        <f t="shared" si="3"/>
        <v>2.1741666666666668</v>
      </c>
      <c r="AQ36" s="35">
        <f t="shared" si="3"/>
        <v>1.6595</v>
      </c>
      <c r="AR36" s="35">
        <f t="shared" si="3"/>
        <v>0.60099999999999998</v>
      </c>
      <c r="AS36" s="35">
        <f t="shared" si="3"/>
        <v>0.11833333333333335</v>
      </c>
      <c r="AT36" s="35">
        <f t="shared" si="3"/>
        <v>1.2044999999999999</v>
      </c>
      <c r="AU36" s="35">
        <f t="shared" si="3"/>
        <v>1.1293333333333333</v>
      </c>
      <c r="AV36" s="35">
        <f t="shared" si="3"/>
        <v>1.5139999999999998</v>
      </c>
      <c r="AW36" s="35">
        <f t="shared" si="3"/>
        <v>0.78849999999999998</v>
      </c>
      <c r="AX36" s="35">
        <f t="shared" si="3"/>
        <v>5.45E-2</v>
      </c>
      <c r="AY36" s="35">
        <f t="shared" si="3"/>
        <v>1.6125</v>
      </c>
      <c r="AZ36" s="35">
        <f t="shared" si="3"/>
        <v>5.4201833333333331</v>
      </c>
      <c r="BA36" s="35">
        <f t="shared" si="3"/>
        <v>0.40616666666666668</v>
      </c>
      <c r="BB36" s="35">
        <f t="shared" si="3"/>
        <v>2.5825</v>
      </c>
      <c r="BC36" s="35">
        <f t="shared" si="3"/>
        <v>1.2023333333333333</v>
      </c>
      <c r="BD36" s="35">
        <f t="shared" si="3"/>
        <v>157.83333333333331</v>
      </c>
      <c r="BE36" s="35">
        <f t="shared" si="3"/>
        <v>12.804500000000001</v>
      </c>
    </row>
    <row r="37" spans="1:74" ht="15.6">
      <c r="E37" s="44">
        <v>275.88</v>
      </c>
      <c r="F37" s="35">
        <v>30.2</v>
      </c>
      <c r="G37" s="35">
        <v>57.87</v>
      </c>
      <c r="H37" s="35">
        <v>27.59</v>
      </c>
      <c r="I37" s="35">
        <v>3.86</v>
      </c>
      <c r="J37" s="35">
        <v>744.61</v>
      </c>
      <c r="K37" s="35">
        <v>7.11</v>
      </c>
      <c r="L37" s="35">
        <v>3.6</v>
      </c>
      <c r="M37" s="35">
        <v>1.76</v>
      </c>
      <c r="N37" s="35">
        <v>48.55</v>
      </c>
      <c r="O37" s="35">
        <v>556.08000000000004</v>
      </c>
      <c r="P37" s="35">
        <v>521</v>
      </c>
      <c r="Q37" s="35">
        <v>792.88</v>
      </c>
      <c r="R37" s="35">
        <v>3.86</v>
      </c>
      <c r="S37" s="35">
        <v>0.1</v>
      </c>
      <c r="T37" s="35">
        <v>0.05</v>
      </c>
      <c r="U37" s="35">
        <v>20.399999999999999</v>
      </c>
      <c r="V37" s="35">
        <v>292.17</v>
      </c>
      <c r="W37" s="35">
        <v>1.22</v>
      </c>
      <c r="X37" s="35">
        <v>21</v>
      </c>
      <c r="Y37" s="35">
        <v>7.56</v>
      </c>
      <c r="Z37" s="35">
        <v>371.61</v>
      </c>
      <c r="AA37" s="35">
        <v>15.64</v>
      </c>
      <c r="AB37" s="35">
        <v>0.11</v>
      </c>
      <c r="AC37" s="35">
        <v>0.55000000000000004</v>
      </c>
      <c r="AD37" s="35">
        <v>0.86</v>
      </c>
      <c r="AE37" s="35">
        <v>0.27</v>
      </c>
      <c r="AF37" s="35">
        <v>0.21</v>
      </c>
      <c r="AG37" s="35">
        <v>1.53</v>
      </c>
      <c r="AH37" s="35">
        <v>48.31</v>
      </c>
      <c r="AI37" s="35">
        <v>31.76</v>
      </c>
      <c r="AJ37" s="35">
        <v>725.13</v>
      </c>
      <c r="AK37" s="35">
        <v>58.58</v>
      </c>
      <c r="AL37" s="35">
        <v>0.23</v>
      </c>
      <c r="AM37" s="35">
        <v>0.36</v>
      </c>
      <c r="AN37" s="35">
        <v>0.87</v>
      </c>
      <c r="AO37" s="35">
        <v>1.36</v>
      </c>
      <c r="AP37" s="35">
        <v>2.17</v>
      </c>
      <c r="AQ37" s="35">
        <v>1.66</v>
      </c>
      <c r="AR37" s="35">
        <v>0.6</v>
      </c>
      <c r="AS37" s="35">
        <v>0.12</v>
      </c>
      <c r="AT37" s="35">
        <v>1.2</v>
      </c>
      <c r="AU37" s="35">
        <v>1.1299999999999999</v>
      </c>
      <c r="AV37" s="35">
        <v>1.51</v>
      </c>
      <c r="AW37" s="35">
        <v>0.79</v>
      </c>
      <c r="AX37" s="35">
        <v>0.05</v>
      </c>
      <c r="AY37" s="35">
        <v>1.61</v>
      </c>
      <c r="AZ37" s="35">
        <v>5.42</v>
      </c>
      <c r="BA37" s="35">
        <v>0.41</v>
      </c>
      <c r="BB37" s="35">
        <v>2.58</v>
      </c>
      <c r="BC37" s="35">
        <v>1.2</v>
      </c>
      <c r="BD37" s="35">
        <v>157.83000000000001</v>
      </c>
      <c r="BE37" s="35">
        <v>12.8</v>
      </c>
    </row>
    <row r="42" spans="1:74" s="1" customFormat="1" ht="50.4">
      <c r="A42"/>
      <c r="B42"/>
      <c r="C42" s="154" t="s">
        <v>86</v>
      </c>
      <c r="D42"/>
      <c r="E42"/>
      <c r="F42" s="1" t="s">
        <v>57</v>
      </c>
      <c r="G42" s="1" t="s">
        <v>67</v>
      </c>
      <c r="H42" s="1" t="s">
        <v>10</v>
      </c>
      <c r="I42" s="1" t="s">
        <v>54</v>
      </c>
      <c r="J42" s="1" t="s">
        <v>71</v>
      </c>
      <c r="K42" s="1" t="s">
        <v>203</v>
      </c>
      <c r="L42" s="1" t="s">
        <v>47</v>
      </c>
      <c r="M42" s="1" t="s">
        <v>38</v>
      </c>
      <c r="N42" s="1" t="s">
        <v>2</v>
      </c>
      <c r="O42" s="1" t="s">
        <v>15</v>
      </c>
      <c r="P42" s="1" t="s">
        <v>69</v>
      </c>
      <c r="Q42" s="1" t="s">
        <v>28</v>
      </c>
      <c r="R42" s="1" t="s">
        <v>14</v>
      </c>
      <c r="S42" s="1" t="s">
        <v>17</v>
      </c>
      <c r="T42" s="1" t="s">
        <v>51</v>
      </c>
      <c r="U42" s="1" t="s">
        <v>72</v>
      </c>
      <c r="V42" s="1" t="s">
        <v>73</v>
      </c>
      <c r="W42" s="1" t="s">
        <v>4</v>
      </c>
      <c r="X42" s="1" t="s">
        <v>21</v>
      </c>
      <c r="Y42" s="2" t="s">
        <v>22</v>
      </c>
      <c r="Z42" s="1" t="s">
        <v>45</v>
      </c>
      <c r="AA42" s="1" t="s">
        <v>49</v>
      </c>
      <c r="AB42" s="1" t="s">
        <v>35</v>
      </c>
      <c r="AC42" s="1" t="s">
        <v>37</v>
      </c>
      <c r="AD42" s="1" t="s">
        <v>65</v>
      </c>
      <c r="AE42" s="1" t="s">
        <v>42</v>
      </c>
      <c r="AF42" s="1" t="s">
        <v>75</v>
      </c>
      <c r="AG42" s="1" t="s">
        <v>24</v>
      </c>
      <c r="AH42" s="1" t="s">
        <v>68</v>
      </c>
      <c r="AI42" s="1" t="s">
        <v>12</v>
      </c>
      <c r="AJ42" s="1" t="s">
        <v>60</v>
      </c>
      <c r="AK42" s="1" t="s">
        <v>53</v>
      </c>
      <c r="AL42" s="1" t="s">
        <v>62</v>
      </c>
      <c r="AM42" s="1" t="s">
        <v>20</v>
      </c>
      <c r="AN42" s="1" t="s">
        <v>30</v>
      </c>
      <c r="AO42" s="1" t="s">
        <v>59</v>
      </c>
      <c r="AP42" s="1" t="s">
        <v>61</v>
      </c>
      <c r="AQ42" s="1" t="s">
        <v>18</v>
      </c>
      <c r="AR42" s="1" t="s">
        <v>46</v>
      </c>
      <c r="AS42" s="1" t="s">
        <v>8</v>
      </c>
      <c r="AT42" s="1" t="s">
        <v>29</v>
      </c>
      <c r="AU42" s="1" t="s">
        <v>36</v>
      </c>
      <c r="AV42" s="1" t="s">
        <v>27</v>
      </c>
      <c r="AW42" s="1" t="s">
        <v>11</v>
      </c>
      <c r="AX42" s="1" t="s">
        <v>39</v>
      </c>
      <c r="AY42" s="1" t="s">
        <v>44</v>
      </c>
      <c r="AZ42" s="1" t="s">
        <v>52</v>
      </c>
      <c r="BA42" s="1" t="s">
        <v>50</v>
      </c>
      <c r="BB42" s="1" t="s">
        <v>13</v>
      </c>
      <c r="BC42" s="1" t="s">
        <v>9</v>
      </c>
      <c r="BD42" s="1" t="s">
        <v>25</v>
      </c>
      <c r="BE42" s="1" t="s">
        <v>7</v>
      </c>
      <c r="BF42" s="1" t="s">
        <v>23</v>
      </c>
      <c r="BG42" s="1" t="s">
        <v>55</v>
      </c>
      <c r="BH42" s="1" t="s">
        <v>48</v>
      </c>
      <c r="BI42" s="1" t="s">
        <v>56</v>
      </c>
      <c r="BJ42" s="1" t="s">
        <v>43</v>
      </c>
      <c r="BK42" s="1" t="s">
        <v>64</v>
      </c>
      <c r="BL42" s="1" t="s">
        <v>26</v>
      </c>
      <c r="BM42" s="1" t="s">
        <v>66</v>
      </c>
      <c r="BN42" s="1" t="s">
        <v>63</v>
      </c>
      <c r="BO42" s="1" t="s">
        <v>34</v>
      </c>
      <c r="BP42" s="1" t="s">
        <v>58</v>
      </c>
      <c r="BQ42" s="1" t="s">
        <v>5</v>
      </c>
      <c r="BR42" s="1" t="s">
        <v>31</v>
      </c>
      <c r="BS42" s="1" t="s">
        <v>41</v>
      </c>
      <c r="BT42" s="1" t="s">
        <v>16</v>
      </c>
      <c r="BU42" s="1" t="s">
        <v>40</v>
      </c>
      <c r="BV42" s="1" t="s">
        <v>33</v>
      </c>
    </row>
    <row r="43" spans="1:74" s="36" customFormat="1" ht="25.2">
      <c r="A43"/>
      <c r="B43"/>
      <c r="C43" s="154"/>
      <c r="D43"/>
      <c r="E43"/>
      <c r="F43" s="36" t="s">
        <v>127</v>
      </c>
      <c r="G43" s="36" t="s">
        <v>135</v>
      </c>
      <c r="H43" s="36" t="s">
        <v>128</v>
      </c>
      <c r="I43" s="36" t="s">
        <v>129</v>
      </c>
      <c r="J43" s="36" t="s">
        <v>130</v>
      </c>
      <c r="L43" s="36" t="s">
        <v>131</v>
      </c>
      <c r="M43" s="36" t="s">
        <v>125</v>
      </c>
      <c r="N43" s="36" t="s">
        <v>132</v>
      </c>
      <c r="O43" s="36" t="s">
        <v>133</v>
      </c>
      <c r="P43" s="36" t="s">
        <v>134</v>
      </c>
      <c r="Q43" s="36" t="s">
        <v>136</v>
      </c>
      <c r="R43" s="36" t="s">
        <v>137</v>
      </c>
      <c r="S43" s="36" t="s">
        <v>138</v>
      </c>
      <c r="T43" s="36" t="s">
        <v>139</v>
      </c>
      <c r="U43" s="36" t="s">
        <v>140</v>
      </c>
      <c r="V43" s="36" t="s">
        <v>141</v>
      </c>
      <c r="W43" s="36" t="s">
        <v>142</v>
      </c>
      <c r="X43" s="36" t="s">
        <v>126</v>
      </c>
      <c r="Y43" s="36" t="s">
        <v>143</v>
      </c>
      <c r="Z43" s="36" t="s">
        <v>144</v>
      </c>
      <c r="AA43" s="36" t="s">
        <v>145</v>
      </c>
      <c r="AB43" s="36" t="s">
        <v>146</v>
      </c>
      <c r="AC43" s="36" t="s">
        <v>147</v>
      </c>
      <c r="AD43" s="36" t="s">
        <v>148</v>
      </c>
      <c r="AE43" s="36" t="s">
        <v>149</v>
      </c>
      <c r="AF43" s="36" t="s">
        <v>135</v>
      </c>
      <c r="AG43" s="36" t="s">
        <v>150</v>
      </c>
      <c r="AH43" s="36" t="s">
        <v>151</v>
      </c>
      <c r="AI43" s="36" t="s">
        <v>152</v>
      </c>
      <c r="AJ43" s="36" t="s">
        <v>153</v>
      </c>
      <c r="AK43" s="36" t="s">
        <v>154</v>
      </c>
      <c r="AL43" s="36" t="s">
        <v>155</v>
      </c>
      <c r="AM43" s="36" t="s">
        <v>156</v>
      </c>
      <c r="AN43" s="36" t="s">
        <v>157</v>
      </c>
      <c r="AO43" s="36" t="s">
        <v>158</v>
      </c>
      <c r="AP43" s="36" t="s">
        <v>159</v>
      </c>
      <c r="AQ43" s="36" t="s">
        <v>160</v>
      </c>
      <c r="AR43" s="36" t="s">
        <v>161</v>
      </c>
      <c r="AS43" s="36" t="s">
        <v>162</v>
      </c>
      <c r="AT43" s="36" t="s">
        <v>163</v>
      </c>
      <c r="AU43" s="36" t="s">
        <v>164</v>
      </c>
      <c r="AV43" s="36" t="s">
        <v>165</v>
      </c>
      <c r="AW43" s="36" t="s">
        <v>123</v>
      </c>
      <c r="AX43" s="36" t="s">
        <v>166</v>
      </c>
      <c r="AY43" s="36" t="s">
        <v>167</v>
      </c>
      <c r="AZ43" s="36" t="s">
        <v>168</v>
      </c>
      <c r="BA43" s="36" t="s">
        <v>169</v>
      </c>
      <c r="BB43" s="36" t="s">
        <v>170</v>
      </c>
      <c r="BC43" s="36" t="s">
        <v>171</v>
      </c>
      <c r="BD43" s="36" t="s">
        <v>172</v>
      </c>
      <c r="BE43" s="36" t="s">
        <v>173</v>
      </c>
      <c r="BF43" s="36" t="s">
        <v>174</v>
      </c>
      <c r="BG43" s="36" t="s">
        <v>175</v>
      </c>
      <c r="BH43" s="36" t="s">
        <v>176</v>
      </c>
      <c r="BI43" s="36" t="s">
        <v>124</v>
      </c>
      <c r="BJ43" s="36" t="s">
        <v>177</v>
      </c>
      <c r="BK43" s="36" t="s">
        <v>178</v>
      </c>
      <c r="BL43" s="36" t="s">
        <v>179</v>
      </c>
      <c r="BM43" s="36" t="s">
        <v>180</v>
      </c>
      <c r="BN43" s="36" t="s">
        <v>181</v>
      </c>
      <c r="BO43" s="36" t="s">
        <v>182</v>
      </c>
      <c r="BP43" s="36" t="s">
        <v>183</v>
      </c>
      <c r="BQ43" s="36" t="s">
        <v>184</v>
      </c>
      <c r="BR43" s="36" t="s">
        <v>185</v>
      </c>
      <c r="BS43" s="36" t="s">
        <v>186</v>
      </c>
      <c r="BT43" s="36" t="s">
        <v>187</v>
      </c>
      <c r="BU43" s="36" t="s">
        <v>188</v>
      </c>
      <c r="BV43" s="36" t="s">
        <v>189</v>
      </c>
    </row>
    <row r="44" spans="1:74">
      <c r="B44" t="s">
        <v>199</v>
      </c>
      <c r="F44">
        <v>0</v>
      </c>
      <c r="G44">
        <v>0</v>
      </c>
      <c r="H44">
        <v>0</v>
      </c>
      <c r="I44">
        <v>0</v>
      </c>
      <c r="J44">
        <v>0</v>
      </c>
      <c r="K44">
        <v>400</v>
      </c>
      <c r="L44">
        <v>1500</v>
      </c>
      <c r="Q44">
        <v>50</v>
      </c>
      <c r="R44">
        <v>2</v>
      </c>
      <c r="T44">
        <v>15</v>
      </c>
      <c r="Y44">
        <v>400</v>
      </c>
      <c r="Z44">
        <v>400</v>
      </c>
      <c r="AE44">
        <v>11</v>
      </c>
      <c r="AG44">
        <v>18</v>
      </c>
      <c r="AH44">
        <v>15</v>
      </c>
      <c r="AI44">
        <v>34</v>
      </c>
      <c r="AJ44">
        <v>90</v>
      </c>
      <c r="AL44">
        <v>31</v>
      </c>
      <c r="AM44">
        <v>750</v>
      </c>
      <c r="AO44">
        <v>3</v>
      </c>
      <c r="AP44">
        <v>15</v>
      </c>
      <c r="AQ44">
        <v>15</v>
      </c>
      <c r="AR44">
        <v>50</v>
      </c>
      <c r="AS44">
        <v>27</v>
      </c>
      <c r="AT44">
        <v>700</v>
      </c>
      <c r="AU44">
        <v>100</v>
      </c>
      <c r="AX44">
        <v>5000</v>
      </c>
      <c r="AY44">
        <v>15</v>
      </c>
      <c r="AZ44">
        <v>100</v>
      </c>
      <c r="BB44">
        <v>1500</v>
      </c>
      <c r="BG44">
        <v>50</v>
      </c>
      <c r="BH44">
        <v>16</v>
      </c>
      <c r="BJ44">
        <v>4</v>
      </c>
      <c r="BK44">
        <v>27</v>
      </c>
      <c r="BL44">
        <v>19</v>
      </c>
      <c r="BM44">
        <v>700</v>
      </c>
      <c r="BO44">
        <v>200</v>
      </c>
      <c r="BP44">
        <v>50</v>
      </c>
      <c r="BQ44">
        <v>110</v>
      </c>
      <c r="BR44">
        <v>400</v>
      </c>
      <c r="BS44">
        <v>400</v>
      </c>
      <c r="BT44">
        <v>400</v>
      </c>
      <c r="BU44">
        <v>100</v>
      </c>
      <c r="BV44">
        <v>30</v>
      </c>
    </row>
    <row r="45" spans="1:74">
      <c r="A45" t="s">
        <v>377</v>
      </c>
      <c r="K45" t="s">
        <v>201</v>
      </c>
      <c r="L45" t="s">
        <v>200</v>
      </c>
      <c r="Q45" t="s">
        <v>200</v>
      </c>
      <c r="R45" t="s">
        <v>200</v>
      </c>
      <c r="T45" s="41" t="s">
        <v>200</v>
      </c>
      <c r="Y45" t="s">
        <v>201</v>
      </c>
      <c r="Z45" t="s">
        <v>201</v>
      </c>
      <c r="AE45" s="41" t="s">
        <v>200</v>
      </c>
      <c r="AG45" t="s">
        <v>200</v>
      </c>
      <c r="AH45" s="41" t="s">
        <v>200</v>
      </c>
      <c r="AI45" s="41" t="s">
        <v>200</v>
      </c>
      <c r="AJ45" t="s">
        <v>201</v>
      </c>
      <c r="AL45" s="41" t="s">
        <v>200</v>
      </c>
      <c r="AM45" t="s">
        <v>200</v>
      </c>
      <c r="AO45" t="s">
        <v>200</v>
      </c>
      <c r="AP45" s="41" t="s">
        <v>200</v>
      </c>
      <c r="AQ45" t="s">
        <v>200</v>
      </c>
      <c r="AR45" t="s">
        <v>200</v>
      </c>
      <c r="AS45" s="41" t="s">
        <v>200</v>
      </c>
      <c r="AT45" t="s">
        <v>200</v>
      </c>
      <c r="AU45" t="s">
        <v>200</v>
      </c>
      <c r="AX45" t="s">
        <v>202</v>
      </c>
      <c r="AY45" t="s">
        <v>200</v>
      </c>
      <c r="AZ45" t="s">
        <v>200</v>
      </c>
      <c r="BB45" t="s">
        <v>200</v>
      </c>
      <c r="BG45" t="s">
        <v>200</v>
      </c>
      <c r="BH45" s="41" t="s">
        <v>200</v>
      </c>
      <c r="BJ45" s="41" t="s">
        <v>200</v>
      </c>
      <c r="BK45" s="41" t="s">
        <v>200</v>
      </c>
      <c r="BL45" s="41" t="s">
        <v>200</v>
      </c>
      <c r="BM45" t="s">
        <v>200</v>
      </c>
      <c r="BO45" t="s">
        <v>201</v>
      </c>
      <c r="BP45" t="s">
        <v>200</v>
      </c>
      <c r="BQ45" t="s">
        <v>200</v>
      </c>
      <c r="BR45" t="s">
        <v>201</v>
      </c>
      <c r="BS45" t="s">
        <v>200</v>
      </c>
      <c r="BT45" t="s">
        <v>202</v>
      </c>
      <c r="BU45" t="s">
        <v>201</v>
      </c>
      <c r="BV45" t="s">
        <v>200</v>
      </c>
    </row>
    <row r="46" spans="1:74">
      <c r="A46" s="12">
        <v>174030</v>
      </c>
      <c r="B46" s="12" t="s">
        <v>100</v>
      </c>
      <c r="C46" s="28" t="s">
        <v>117</v>
      </c>
      <c r="D46" s="12">
        <v>4</v>
      </c>
      <c r="E46" s="31" t="s">
        <v>74</v>
      </c>
      <c r="F46" s="17">
        <v>1.2529999999999999</v>
      </c>
      <c r="G46" s="17">
        <v>1.302</v>
      </c>
      <c r="H46" s="17">
        <v>0.98</v>
      </c>
      <c r="I46" s="17">
        <v>1.802</v>
      </c>
      <c r="J46" s="17">
        <v>7.9</v>
      </c>
      <c r="K46">
        <v>12</v>
      </c>
      <c r="M46">
        <v>0</v>
      </c>
      <c r="N46">
        <v>0</v>
      </c>
      <c r="O46">
        <v>0</v>
      </c>
      <c r="P46">
        <v>65</v>
      </c>
      <c r="Q46">
        <v>66.099999999999994</v>
      </c>
      <c r="R46">
        <v>7.1999999999999995E-2</v>
      </c>
      <c r="S46">
        <v>0</v>
      </c>
      <c r="T46">
        <v>0.20599999999999999</v>
      </c>
      <c r="U46">
        <v>176</v>
      </c>
      <c r="V46">
        <v>735</v>
      </c>
      <c r="W46">
        <v>4.194</v>
      </c>
      <c r="X46">
        <v>0</v>
      </c>
      <c r="Y46">
        <v>6</v>
      </c>
      <c r="Z46">
        <v>0</v>
      </c>
      <c r="AA46">
        <v>0</v>
      </c>
      <c r="AB46">
        <v>0</v>
      </c>
      <c r="AC46">
        <v>3</v>
      </c>
      <c r="AD46" s="24">
        <v>1.3580000000000001</v>
      </c>
      <c r="AE46" s="24">
        <v>0.65</v>
      </c>
      <c r="AF46">
        <v>0.27200000000000002</v>
      </c>
      <c r="AG46">
        <v>2.2400000000000002</v>
      </c>
      <c r="AH46">
        <v>0.88500000000000001</v>
      </c>
      <c r="AI46">
        <v>1.56</v>
      </c>
      <c r="AJ46">
        <v>0</v>
      </c>
      <c r="AK46">
        <v>0</v>
      </c>
      <c r="AL46">
        <v>1.6579999999999999</v>
      </c>
      <c r="AM46">
        <v>20</v>
      </c>
      <c r="AN46">
        <v>0</v>
      </c>
      <c r="AO46">
        <v>0.01</v>
      </c>
      <c r="AP46">
        <v>0.51500000000000001</v>
      </c>
      <c r="AQ46">
        <v>5.0720000000000001</v>
      </c>
      <c r="AR46">
        <v>0.60099999999999998</v>
      </c>
      <c r="AS46">
        <v>0.78100000000000003</v>
      </c>
      <c r="AT46">
        <v>184</v>
      </c>
      <c r="AU46">
        <v>321</v>
      </c>
      <c r="AV46">
        <v>1.02</v>
      </c>
      <c r="AW46">
        <v>20</v>
      </c>
      <c r="AX46">
        <v>4</v>
      </c>
      <c r="AY46">
        <v>0.151</v>
      </c>
      <c r="AZ46">
        <v>16.600000000000001</v>
      </c>
      <c r="BA46">
        <v>0.80100000000000005</v>
      </c>
      <c r="BB46">
        <v>66</v>
      </c>
      <c r="BC46">
        <v>0</v>
      </c>
      <c r="BD46">
        <v>0</v>
      </c>
      <c r="BE46">
        <v>0</v>
      </c>
      <c r="BF46">
        <v>0</v>
      </c>
      <c r="BG46">
        <v>4.2000000000000003E-2</v>
      </c>
      <c r="BH46">
        <v>0.77500000000000002</v>
      </c>
      <c r="BI46">
        <v>10</v>
      </c>
      <c r="BJ46">
        <v>0.10199999999999999</v>
      </c>
      <c r="BK46">
        <v>0.61599999999999999</v>
      </c>
      <c r="BL46">
        <v>0.98299999999999998</v>
      </c>
      <c r="BM46">
        <v>14</v>
      </c>
      <c r="BN46">
        <v>4</v>
      </c>
      <c r="BO46">
        <v>2.21</v>
      </c>
      <c r="BP46">
        <v>0.36899999999999999</v>
      </c>
      <c r="BQ46">
        <v>0</v>
      </c>
      <c r="BR46">
        <v>3</v>
      </c>
      <c r="BS46">
        <v>0</v>
      </c>
      <c r="BT46">
        <v>0.17</v>
      </c>
      <c r="BU46">
        <v>0.8</v>
      </c>
      <c r="BV46">
        <v>4.79</v>
      </c>
    </row>
    <row r="47" spans="1:74">
      <c r="A47" s="12">
        <v>174030</v>
      </c>
      <c r="B47" s="12" t="s">
        <v>100</v>
      </c>
      <c r="C47" s="28" t="s">
        <v>117</v>
      </c>
      <c r="D47" s="12">
        <v>4</v>
      </c>
      <c r="E47" s="31" t="s">
        <v>74</v>
      </c>
      <c r="F47" s="17">
        <v>1.2529999999999999</v>
      </c>
      <c r="G47" s="17">
        <v>1.302</v>
      </c>
      <c r="H47" s="17">
        <v>0.98</v>
      </c>
      <c r="I47" s="17">
        <v>1.802</v>
      </c>
      <c r="J47" s="17">
        <v>7.9</v>
      </c>
      <c r="K47">
        <v>12</v>
      </c>
      <c r="M47">
        <v>0</v>
      </c>
      <c r="N47">
        <v>0</v>
      </c>
      <c r="O47">
        <v>0</v>
      </c>
      <c r="P47">
        <v>65</v>
      </c>
      <c r="Q47">
        <v>66.099999999999994</v>
      </c>
      <c r="R47">
        <v>7.1999999999999995E-2</v>
      </c>
      <c r="S47">
        <v>0</v>
      </c>
      <c r="T47">
        <v>0.20599999999999999</v>
      </c>
      <c r="U47">
        <v>176</v>
      </c>
      <c r="V47">
        <v>735</v>
      </c>
      <c r="W47">
        <v>4.194</v>
      </c>
      <c r="X47">
        <v>0</v>
      </c>
      <c r="Y47">
        <v>6</v>
      </c>
      <c r="Z47">
        <v>0</v>
      </c>
      <c r="AA47">
        <v>0</v>
      </c>
      <c r="AB47">
        <v>0</v>
      </c>
      <c r="AC47">
        <v>3</v>
      </c>
      <c r="AD47" s="24">
        <v>1.3580000000000001</v>
      </c>
      <c r="AE47" s="24">
        <v>0.65</v>
      </c>
      <c r="AF47">
        <v>0.27200000000000002</v>
      </c>
      <c r="AG47">
        <v>2.2400000000000002</v>
      </c>
      <c r="AH47">
        <v>0.88500000000000001</v>
      </c>
      <c r="AI47">
        <v>1.56</v>
      </c>
      <c r="AJ47">
        <v>0</v>
      </c>
      <c r="AK47">
        <v>0</v>
      </c>
      <c r="AL47">
        <v>1.6579999999999999</v>
      </c>
      <c r="AM47">
        <v>20</v>
      </c>
      <c r="AN47">
        <v>0</v>
      </c>
      <c r="AO47">
        <v>0.01</v>
      </c>
      <c r="AP47">
        <v>0.51500000000000001</v>
      </c>
      <c r="AQ47">
        <v>5.0720000000000001</v>
      </c>
      <c r="AR47">
        <v>0.60099999999999998</v>
      </c>
      <c r="AS47">
        <v>0.78100000000000003</v>
      </c>
      <c r="AT47">
        <v>184</v>
      </c>
      <c r="AU47">
        <v>321</v>
      </c>
      <c r="AV47">
        <v>1.02</v>
      </c>
      <c r="AW47">
        <v>20</v>
      </c>
      <c r="AX47">
        <v>4</v>
      </c>
      <c r="AY47">
        <v>0.151</v>
      </c>
      <c r="AZ47">
        <v>16.600000000000001</v>
      </c>
      <c r="BA47">
        <v>0.80100000000000005</v>
      </c>
      <c r="BB47">
        <v>66</v>
      </c>
      <c r="BC47">
        <v>0</v>
      </c>
      <c r="BD47">
        <v>0</v>
      </c>
      <c r="BE47">
        <v>0</v>
      </c>
      <c r="BF47">
        <v>0</v>
      </c>
      <c r="BG47">
        <v>4.2000000000000003E-2</v>
      </c>
      <c r="BH47">
        <v>0.77500000000000002</v>
      </c>
      <c r="BI47">
        <v>10</v>
      </c>
      <c r="BJ47">
        <v>0.10199999999999999</v>
      </c>
      <c r="BK47">
        <v>0.61599999999999999</v>
      </c>
      <c r="BL47">
        <v>0.98299999999999998</v>
      </c>
      <c r="BM47">
        <v>14</v>
      </c>
      <c r="BN47">
        <v>4</v>
      </c>
      <c r="BO47">
        <v>2.21</v>
      </c>
      <c r="BP47">
        <v>0.36899999999999999</v>
      </c>
      <c r="BQ47">
        <v>0</v>
      </c>
      <c r="BR47">
        <v>3</v>
      </c>
      <c r="BS47">
        <v>0</v>
      </c>
      <c r="BT47">
        <v>0.17</v>
      </c>
      <c r="BU47">
        <v>0.8</v>
      </c>
      <c r="BV47">
        <v>4.79</v>
      </c>
    </row>
    <row r="48" spans="1:74" ht="14.4">
      <c r="A48" s="13">
        <v>173735</v>
      </c>
      <c r="B48" s="14" t="s">
        <v>90</v>
      </c>
      <c r="C48" s="28" t="s">
        <v>118</v>
      </c>
      <c r="D48" s="13">
        <v>1</v>
      </c>
      <c r="E48" s="29" t="s">
        <v>70</v>
      </c>
      <c r="F48" s="8">
        <v>0.372</v>
      </c>
      <c r="G48" s="13">
        <v>0.54900000000000004</v>
      </c>
      <c r="H48" s="14">
        <v>1.1499999999999999</v>
      </c>
      <c r="I48" s="13">
        <v>1.0720000000000001</v>
      </c>
      <c r="J48" s="14">
        <v>0</v>
      </c>
      <c r="K48">
        <v>27</v>
      </c>
      <c r="M48">
        <v>23.71</v>
      </c>
      <c r="N48">
        <v>0</v>
      </c>
      <c r="O48">
        <v>0</v>
      </c>
      <c r="P48">
        <v>0</v>
      </c>
      <c r="Q48">
        <v>32.6</v>
      </c>
      <c r="R48">
        <v>0.28999999999999998</v>
      </c>
      <c r="S48">
        <v>0</v>
      </c>
      <c r="T48">
        <v>9.6000000000000002E-2</v>
      </c>
      <c r="U48">
        <v>552</v>
      </c>
      <c r="V48">
        <v>132</v>
      </c>
      <c r="W48">
        <v>4.7E-2</v>
      </c>
      <c r="X48">
        <v>8.6999999999999993</v>
      </c>
      <c r="Y48">
        <v>149</v>
      </c>
      <c r="Z48">
        <v>0</v>
      </c>
      <c r="AA48">
        <v>0</v>
      </c>
      <c r="AB48">
        <v>0</v>
      </c>
      <c r="AC48">
        <v>1.351</v>
      </c>
      <c r="AD48">
        <v>0.34599999999999997</v>
      </c>
      <c r="AE48">
        <v>0.247</v>
      </c>
      <c r="AF48">
        <v>0</v>
      </c>
      <c r="AG48">
        <v>2.1</v>
      </c>
      <c r="AH48">
        <v>0.39100000000000001</v>
      </c>
      <c r="AI48">
        <v>0.70799999999999996</v>
      </c>
      <c r="AJ48">
        <v>0</v>
      </c>
      <c r="AK48">
        <v>0</v>
      </c>
      <c r="AL48">
        <v>8.0000000000000002E-3</v>
      </c>
      <c r="AM48">
        <v>70</v>
      </c>
      <c r="AN48">
        <v>0</v>
      </c>
      <c r="AO48">
        <v>0.44400000000000001</v>
      </c>
      <c r="AP48">
        <v>0.13300000000000001</v>
      </c>
      <c r="AQ48">
        <v>0.505</v>
      </c>
      <c r="AR48">
        <v>0.24199999999999999</v>
      </c>
      <c r="AS48">
        <v>0.47899999999999998</v>
      </c>
      <c r="AT48">
        <v>140</v>
      </c>
      <c r="AU48">
        <v>355</v>
      </c>
      <c r="AV48">
        <v>0.376</v>
      </c>
      <c r="AW48">
        <v>8.86</v>
      </c>
      <c r="AX48">
        <v>0</v>
      </c>
      <c r="AY48">
        <v>5.8999999999999997E-2</v>
      </c>
      <c r="AZ48">
        <v>1.2</v>
      </c>
      <c r="BA48">
        <v>0.48199999999999998</v>
      </c>
      <c r="BB48">
        <v>1</v>
      </c>
      <c r="BC48">
        <v>0</v>
      </c>
      <c r="BD48">
        <v>0</v>
      </c>
      <c r="BE48">
        <v>0.32</v>
      </c>
      <c r="BF48">
        <v>0</v>
      </c>
      <c r="BG48">
        <v>0.24399999999999999</v>
      </c>
      <c r="BH48">
        <v>0.373</v>
      </c>
      <c r="BI48">
        <v>0.54</v>
      </c>
      <c r="BJ48">
        <v>0.105</v>
      </c>
      <c r="BK48">
        <v>0.25</v>
      </c>
      <c r="BL48">
        <v>0.40400000000000003</v>
      </c>
      <c r="BM48">
        <v>6</v>
      </c>
      <c r="BN48">
        <v>0</v>
      </c>
      <c r="BO48">
        <v>0</v>
      </c>
      <c r="BP48">
        <v>6.9000000000000006E-2</v>
      </c>
      <c r="BQ48">
        <v>0</v>
      </c>
      <c r="BR48">
        <v>0</v>
      </c>
      <c r="BS48">
        <v>0</v>
      </c>
      <c r="BT48">
        <v>0.87</v>
      </c>
      <c r="BU48">
        <v>3.3</v>
      </c>
      <c r="BV48">
        <v>1.1200000000000001</v>
      </c>
    </row>
    <row r="49" spans="1:74" ht="15" customHeight="1">
      <c r="A49" s="3">
        <v>175203</v>
      </c>
      <c r="B49" s="4" t="s">
        <v>96</v>
      </c>
      <c r="C49" s="28" t="s">
        <v>118</v>
      </c>
      <c r="D49" s="3">
        <v>1</v>
      </c>
      <c r="E49" s="27" t="s">
        <v>70</v>
      </c>
      <c r="F49" s="11">
        <v>0.40799999999999997</v>
      </c>
      <c r="G49" s="9">
        <v>0.60199999999999998</v>
      </c>
      <c r="H49" s="10">
        <v>1.75</v>
      </c>
      <c r="I49" s="8">
        <v>1.1759999999999999</v>
      </c>
      <c r="J49" s="10">
        <v>0</v>
      </c>
      <c r="K49" s="9">
        <v>90</v>
      </c>
      <c r="L49" s="9"/>
      <c r="M49" s="10">
        <v>25.09</v>
      </c>
      <c r="N49" s="9">
        <v>0</v>
      </c>
      <c r="O49" s="10">
        <v>0</v>
      </c>
      <c r="P49" s="9">
        <v>0</v>
      </c>
      <c r="Q49" s="10">
        <v>35.1</v>
      </c>
      <c r="R49" s="9">
        <v>0.28699999999999998</v>
      </c>
      <c r="S49" s="7">
        <v>0</v>
      </c>
      <c r="T49" s="9">
        <v>0.106</v>
      </c>
      <c r="U49" s="10">
        <v>581</v>
      </c>
      <c r="V49" s="25">
        <v>139</v>
      </c>
      <c r="W49" s="16">
        <v>3.1E-2</v>
      </c>
      <c r="X49" s="25">
        <v>6.3</v>
      </c>
      <c r="Y49" s="16">
        <v>81</v>
      </c>
      <c r="Z49" s="13">
        <v>0</v>
      </c>
      <c r="AA49" s="14">
        <v>0</v>
      </c>
      <c r="AB49" s="3">
        <v>0</v>
      </c>
      <c r="AC49" s="4">
        <v>1.4830000000000001</v>
      </c>
      <c r="AD49" s="19">
        <v>0.38</v>
      </c>
      <c r="AE49" s="20">
        <v>0.27100000000000002</v>
      </c>
      <c r="AF49" s="9">
        <v>0</v>
      </c>
      <c r="AG49" s="10">
        <v>3.7</v>
      </c>
      <c r="AH49" s="9">
        <v>0.42899999999999999</v>
      </c>
      <c r="AI49" s="10">
        <v>0.77600000000000002</v>
      </c>
      <c r="AJ49" s="9">
        <v>0</v>
      </c>
      <c r="AK49" s="10">
        <v>0</v>
      </c>
      <c r="AL49" s="9">
        <v>0.66800000000000004</v>
      </c>
      <c r="AM49" s="10">
        <v>63</v>
      </c>
      <c r="AN49" s="9">
        <v>0</v>
      </c>
      <c r="AO49" s="10">
        <v>0.63600000000000001</v>
      </c>
      <c r="AP49" s="9">
        <v>0.14599999999999999</v>
      </c>
      <c r="AQ49" s="10">
        <v>1.4E-2</v>
      </c>
      <c r="AR49" s="9">
        <v>0.22900000000000001</v>
      </c>
      <c r="AS49" s="10">
        <v>0.52600000000000002</v>
      </c>
      <c r="AT49" s="9">
        <v>113</v>
      </c>
      <c r="AU49" s="10">
        <v>581</v>
      </c>
      <c r="AV49" s="9">
        <v>0.41199999999999998</v>
      </c>
      <c r="AW49" s="10">
        <v>9.73</v>
      </c>
      <c r="AX49" s="9">
        <v>0</v>
      </c>
      <c r="AY49" s="10">
        <v>4.5999999999999999E-2</v>
      </c>
      <c r="AZ49" s="9">
        <v>1.3</v>
      </c>
      <c r="BA49" s="10">
        <v>0.52900000000000003</v>
      </c>
      <c r="BB49" s="9">
        <v>6</v>
      </c>
      <c r="BC49" s="10">
        <v>0</v>
      </c>
      <c r="BD49" s="9">
        <v>0</v>
      </c>
      <c r="BE49" s="10">
        <v>0.34</v>
      </c>
      <c r="BF49" s="9">
        <v>0</v>
      </c>
      <c r="BG49" s="10">
        <v>0.11799999999999999</v>
      </c>
      <c r="BH49" s="9">
        <v>0.40899999999999997</v>
      </c>
      <c r="BI49" s="10">
        <v>0.35</v>
      </c>
      <c r="BJ49" s="9">
        <v>0.115</v>
      </c>
      <c r="BK49" s="10">
        <v>0.27400000000000002</v>
      </c>
      <c r="BL49" s="9">
        <v>0.50900000000000001</v>
      </c>
      <c r="BM49" s="10">
        <v>0</v>
      </c>
      <c r="BN49" s="9">
        <v>0</v>
      </c>
      <c r="BO49" s="10">
        <v>0</v>
      </c>
      <c r="BP49" s="9">
        <v>9.2999999999999999E-2</v>
      </c>
      <c r="BQ49" s="13">
        <v>0</v>
      </c>
      <c r="BR49" s="14">
        <v>0</v>
      </c>
      <c r="BS49" s="13">
        <v>0</v>
      </c>
      <c r="BT49" s="8">
        <v>0.94</v>
      </c>
      <c r="BU49" s="7">
        <v>3.5</v>
      </c>
      <c r="BV49" s="8">
        <v>1.38</v>
      </c>
    </row>
    <row r="50" spans="1:74" ht="15" customHeight="1">
      <c r="A50">
        <v>170457</v>
      </c>
      <c r="B50" t="s">
        <v>109</v>
      </c>
      <c r="C50" s="28" t="s">
        <v>88</v>
      </c>
      <c r="D50">
        <v>1</v>
      </c>
      <c r="E50" s="28" t="s">
        <v>78</v>
      </c>
      <c r="F50">
        <v>2.7E-2</v>
      </c>
      <c r="G50">
        <v>2.1000000000000001E-2</v>
      </c>
      <c r="H50">
        <v>0.5</v>
      </c>
      <c r="I50" s="24">
        <v>0.13500000000000001</v>
      </c>
      <c r="J50">
        <v>0.1</v>
      </c>
      <c r="K50">
        <v>10</v>
      </c>
      <c r="M50">
        <v>3.89</v>
      </c>
      <c r="N50">
        <v>101</v>
      </c>
      <c r="O50">
        <v>449</v>
      </c>
      <c r="P50" s="21">
        <v>0</v>
      </c>
      <c r="Q50">
        <v>6.7</v>
      </c>
      <c r="R50">
        <v>5.8000000000000003E-2</v>
      </c>
      <c r="S50">
        <v>0</v>
      </c>
      <c r="T50">
        <v>8.0000000000000002E-3</v>
      </c>
      <c r="U50">
        <v>71</v>
      </c>
      <c r="V50">
        <v>18</v>
      </c>
      <c r="W50">
        <v>3.1E-2</v>
      </c>
      <c r="X50">
        <v>1.2</v>
      </c>
      <c r="Y50">
        <v>15</v>
      </c>
      <c r="Z50">
        <v>0</v>
      </c>
      <c r="AA50" s="24">
        <v>0</v>
      </c>
      <c r="AB50" s="24">
        <v>1.25</v>
      </c>
      <c r="AC50" s="24">
        <v>4.3099999999999999E-2</v>
      </c>
      <c r="AD50" s="24">
        <v>1.9E-2</v>
      </c>
      <c r="AE50" s="24">
        <v>1.4E-2</v>
      </c>
      <c r="AF50" s="24">
        <v>0</v>
      </c>
      <c r="AG50" s="24">
        <v>2.7E-2</v>
      </c>
      <c r="AH50" s="24">
        <v>1.7999999999999999E-2</v>
      </c>
      <c r="AI50" s="24">
        <v>2.5000000000000001E-2</v>
      </c>
      <c r="AJ50" s="24">
        <v>123</v>
      </c>
      <c r="AK50" s="24">
        <v>2573</v>
      </c>
      <c r="AL50" s="24">
        <v>2.7E-2</v>
      </c>
      <c r="AM50" s="24">
        <v>11</v>
      </c>
      <c r="AN50" s="24">
        <v>0</v>
      </c>
      <c r="AO50" s="24">
        <v>0.114</v>
      </c>
      <c r="AP50" s="24">
        <v>6.0000000000000001E-3</v>
      </c>
      <c r="AQ50" s="21">
        <v>0.59399999999999997</v>
      </c>
      <c r="AR50" s="24">
        <v>8.8999999999999996E-2</v>
      </c>
      <c r="AS50" s="17">
        <v>2.7E-2</v>
      </c>
      <c r="AT50" s="24">
        <v>24</v>
      </c>
      <c r="AU50" s="24">
        <v>237</v>
      </c>
      <c r="AV50" s="24">
        <v>1.4999999999999999E-2</v>
      </c>
      <c r="AW50" s="24">
        <v>0.88</v>
      </c>
      <c r="AX50" s="24">
        <v>0</v>
      </c>
      <c r="AY50" s="24">
        <v>1.9E-2</v>
      </c>
      <c r="AZ50" s="24">
        <v>0</v>
      </c>
      <c r="BA50" s="24">
        <v>2.5999999999999999E-2</v>
      </c>
      <c r="BB50" s="24">
        <v>5</v>
      </c>
      <c r="BC50" s="24">
        <v>0</v>
      </c>
      <c r="BD50" s="24">
        <v>0</v>
      </c>
      <c r="BE50" s="24">
        <v>2.63</v>
      </c>
      <c r="BF50" s="24">
        <v>0</v>
      </c>
      <c r="BG50" s="24">
        <v>3.6999999999999998E-2</v>
      </c>
      <c r="BH50" s="24">
        <v>2.7E-2</v>
      </c>
      <c r="BI50" s="24">
        <v>0.2</v>
      </c>
      <c r="BJ50" s="24">
        <v>6.0000000000000001E-3</v>
      </c>
      <c r="BK50" s="24">
        <v>1.4E-2</v>
      </c>
      <c r="BL50" s="24">
        <v>1.7999999999999999E-2</v>
      </c>
      <c r="BM50" s="24">
        <v>833</v>
      </c>
      <c r="BN50" s="24">
        <v>42</v>
      </c>
      <c r="BO50" s="24"/>
      <c r="BP50" s="24">
        <v>0.08</v>
      </c>
      <c r="BQ50" s="24">
        <v>13.7</v>
      </c>
      <c r="BR50" s="24">
        <v>0</v>
      </c>
      <c r="BS50" s="24">
        <v>0</v>
      </c>
      <c r="BT50" s="24">
        <v>0.54</v>
      </c>
      <c r="BU50">
        <v>7.3</v>
      </c>
      <c r="BV50">
        <v>0.17</v>
      </c>
    </row>
    <row r="51" spans="1:74" ht="15" customHeight="1">
      <c r="A51">
        <v>170457</v>
      </c>
      <c r="B51" t="s">
        <v>109</v>
      </c>
      <c r="C51" s="28" t="s">
        <v>88</v>
      </c>
      <c r="D51">
        <v>1</v>
      </c>
      <c r="E51" s="28" t="s">
        <v>78</v>
      </c>
      <c r="F51">
        <v>2.7E-2</v>
      </c>
      <c r="G51">
        <v>2.1000000000000001E-2</v>
      </c>
      <c r="H51">
        <v>0.5</v>
      </c>
      <c r="I51" s="24">
        <v>0.13500000000000001</v>
      </c>
      <c r="J51">
        <v>0.1</v>
      </c>
      <c r="K51">
        <v>10</v>
      </c>
      <c r="M51">
        <v>3.89</v>
      </c>
      <c r="N51">
        <v>101</v>
      </c>
      <c r="O51">
        <v>449</v>
      </c>
      <c r="P51" s="21">
        <v>0</v>
      </c>
      <c r="Q51">
        <v>6.7</v>
      </c>
      <c r="R51">
        <v>5.8000000000000003E-2</v>
      </c>
      <c r="S51">
        <v>0</v>
      </c>
      <c r="T51">
        <v>8.0000000000000002E-3</v>
      </c>
      <c r="U51">
        <v>71</v>
      </c>
      <c r="V51">
        <v>18</v>
      </c>
      <c r="W51">
        <v>3.1E-2</v>
      </c>
      <c r="X51">
        <v>1.2</v>
      </c>
      <c r="Y51">
        <v>15</v>
      </c>
      <c r="Z51">
        <v>0</v>
      </c>
      <c r="AA51" s="24">
        <v>0</v>
      </c>
      <c r="AB51" s="24">
        <v>1.25</v>
      </c>
      <c r="AC51" s="24">
        <v>4.3099999999999999E-2</v>
      </c>
      <c r="AD51" s="24">
        <v>1.9E-2</v>
      </c>
      <c r="AE51" s="24">
        <v>1.4E-2</v>
      </c>
      <c r="AF51" s="24">
        <v>0</v>
      </c>
      <c r="AG51" s="24">
        <v>2.7E-2</v>
      </c>
      <c r="AH51" s="24">
        <v>1.7999999999999999E-2</v>
      </c>
      <c r="AI51" s="24">
        <v>2.5000000000000001E-2</v>
      </c>
      <c r="AJ51" s="24">
        <v>123</v>
      </c>
      <c r="AK51" s="24">
        <v>2573</v>
      </c>
      <c r="AL51" s="24">
        <v>2.7E-2</v>
      </c>
      <c r="AM51" s="24">
        <v>11</v>
      </c>
      <c r="AN51" s="24">
        <v>0</v>
      </c>
      <c r="AO51" s="24">
        <v>0.114</v>
      </c>
      <c r="AP51" s="24">
        <v>6.0000000000000001E-3</v>
      </c>
      <c r="AQ51" s="21">
        <v>0.59399999999999997</v>
      </c>
      <c r="AR51" s="24">
        <v>8.8999999999999996E-2</v>
      </c>
      <c r="AS51" s="17">
        <v>2.7E-2</v>
      </c>
      <c r="AT51" s="24">
        <v>24</v>
      </c>
      <c r="AU51" s="24">
        <v>237</v>
      </c>
      <c r="AV51" s="24">
        <v>1.4999999999999999E-2</v>
      </c>
      <c r="AW51" s="24">
        <v>0.88</v>
      </c>
      <c r="AX51" s="24">
        <v>0</v>
      </c>
      <c r="AY51" s="24">
        <v>1.9E-2</v>
      </c>
      <c r="AZ51" s="24">
        <v>0</v>
      </c>
      <c r="BA51" s="24">
        <v>2.5999999999999999E-2</v>
      </c>
      <c r="BB51" s="24">
        <v>5</v>
      </c>
      <c r="BC51" s="24">
        <v>0</v>
      </c>
      <c r="BD51" s="24">
        <v>0</v>
      </c>
      <c r="BE51" s="24">
        <v>2.63</v>
      </c>
      <c r="BF51" s="24">
        <v>0</v>
      </c>
      <c r="BG51" s="24">
        <v>3.6999999999999998E-2</v>
      </c>
      <c r="BH51" s="24">
        <v>2.7E-2</v>
      </c>
      <c r="BI51" s="24">
        <v>0.2</v>
      </c>
      <c r="BJ51" s="24">
        <v>6.0000000000000001E-3</v>
      </c>
      <c r="BK51" s="24">
        <v>1.4E-2</v>
      </c>
      <c r="BL51" s="24">
        <v>1.7999999999999999E-2</v>
      </c>
      <c r="BM51" s="24">
        <v>833</v>
      </c>
      <c r="BN51" s="24">
        <v>42</v>
      </c>
      <c r="BO51" s="24"/>
      <c r="BP51" s="24">
        <v>0.08</v>
      </c>
      <c r="BQ51" s="24">
        <v>13.7</v>
      </c>
      <c r="BR51" s="24">
        <v>0</v>
      </c>
      <c r="BS51" s="24">
        <v>0</v>
      </c>
      <c r="BT51" s="24">
        <v>0.54</v>
      </c>
      <c r="BU51">
        <v>7.3</v>
      </c>
      <c r="BV51">
        <v>0.17</v>
      </c>
    </row>
    <row r="52" spans="1:74" ht="15" customHeight="1">
      <c r="A52">
        <v>170457</v>
      </c>
      <c r="B52" t="s">
        <v>109</v>
      </c>
      <c r="C52" s="28" t="s">
        <v>88</v>
      </c>
      <c r="D52">
        <v>1</v>
      </c>
      <c r="E52" s="28" t="s">
        <v>78</v>
      </c>
      <c r="F52">
        <v>2.7E-2</v>
      </c>
      <c r="G52">
        <v>2.1000000000000001E-2</v>
      </c>
      <c r="H52">
        <v>0.5</v>
      </c>
      <c r="I52" s="24">
        <v>0.13500000000000001</v>
      </c>
      <c r="J52">
        <v>0.1</v>
      </c>
      <c r="K52">
        <v>10</v>
      </c>
      <c r="M52">
        <v>3.89</v>
      </c>
      <c r="N52">
        <v>101</v>
      </c>
      <c r="O52">
        <v>449</v>
      </c>
      <c r="P52" s="21">
        <v>0</v>
      </c>
      <c r="Q52">
        <v>6.7</v>
      </c>
      <c r="R52">
        <v>5.8000000000000003E-2</v>
      </c>
      <c r="S52">
        <v>0</v>
      </c>
      <c r="T52">
        <v>8.0000000000000002E-3</v>
      </c>
      <c r="U52">
        <v>71</v>
      </c>
      <c r="V52">
        <v>18</v>
      </c>
      <c r="W52">
        <v>3.1E-2</v>
      </c>
      <c r="X52">
        <v>1.2</v>
      </c>
      <c r="Y52">
        <v>15</v>
      </c>
      <c r="Z52">
        <v>0</v>
      </c>
      <c r="AA52" s="24">
        <v>0</v>
      </c>
      <c r="AB52" s="24">
        <v>1.25</v>
      </c>
      <c r="AC52" s="24">
        <v>4.3099999999999999E-2</v>
      </c>
      <c r="AD52" s="24">
        <v>1.9E-2</v>
      </c>
      <c r="AE52" s="24">
        <v>1.4E-2</v>
      </c>
      <c r="AF52" s="24">
        <v>0</v>
      </c>
      <c r="AG52" s="24">
        <v>2.7E-2</v>
      </c>
      <c r="AH52" s="24">
        <v>1.7999999999999999E-2</v>
      </c>
      <c r="AI52" s="24">
        <v>2.5000000000000001E-2</v>
      </c>
      <c r="AJ52" s="24">
        <v>123</v>
      </c>
      <c r="AK52" s="24">
        <v>2573</v>
      </c>
      <c r="AL52" s="24">
        <v>2.7E-2</v>
      </c>
      <c r="AM52" s="24">
        <v>11</v>
      </c>
      <c r="AN52" s="24">
        <v>0</v>
      </c>
      <c r="AO52" s="24">
        <v>0.114</v>
      </c>
      <c r="AP52" s="24">
        <v>6.0000000000000001E-3</v>
      </c>
      <c r="AQ52" s="21">
        <v>0.59399999999999997</v>
      </c>
      <c r="AR52" s="24">
        <v>8.8999999999999996E-2</v>
      </c>
      <c r="AS52" s="17">
        <v>2.7E-2</v>
      </c>
      <c r="AT52" s="24">
        <v>24</v>
      </c>
      <c r="AU52" s="24">
        <v>237</v>
      </c>
      <c r="AV52" s="24">
        <v>1.4999999999999999E-2</v>
      </c>
      <c r="AW52" s="24">
        <v>0.88</v>
      </c>
      <c r="AX52" s="24">
        <v>0</v>
      </c>
      <c r="AY52" s="24">
        <v>1.9E-2</v>
      </c>
      <c r="AZ52" s="24">
        <v>0</v>
      </c>
      <c r="BA52" s="24">
        <v>2.5999999999999999E-2</v>
      </c>
      <c r="BB52" s="24">
        <v>5</v>
      </c>
      <c r="BC52" s="24">
        <v>0</v>
      </c>
      <c r="BD52" s="24">
        <v>0</v>
      </c>
      <c r="BE52" s="24">
        <v>2.63</v>
      </c>
      <c r="BF52" s="24">
        <v>0</v>
      </c>
      <c r="BG52" s="24">
        <v>3.6999999999999998E-2</v>
      </c>
      <c r="BH52" s="24">
        <v>2.7E-2</v>
      </c>
      <c r="BI52" s="24">
        <v>0.2</v>
      </c>
      <c r="BJ52" s="24">
        <v>6.0000000000000001E-3</v>
      </c>
      <c r="BK52" s="24">
        <v>1.4E-2</v>
      </c>
      <c r="BL52" s="24">
        <v>1.7999999999999999E-2</v>
      </c>
      <c r="BM52" s="24">
        <v>833</v>
      </c>
      <c r="BN52" s="24">
        <v>42</v>
      </c>
      <c r="BO52" s="24"/>
      <c r="BP52" s="24">
        <v>0.08</v>
      </c>
      <c r="BQ52" s="24">
        <v>13.7</v>
      </c>
      <c r="BR52" s="24">
        <v>0</v>
      </c>
      <c r="BS52" s="24">
        <v>0</v>
      </c>
      <c r="BT52" s="24">
        <v>0.54</v>
      </c>
      <c r="BU52">
        <v>7.3</v>
      </c>
      <c r="BV52">
        <v>0.17</v>
      </c>
    </row>
    <row r="53" spans="1:74" ht="15" customHeight="1">
      <c r="A53">
        <v>170457</v>
      </c>
      <c r="B53" t="s">
        <v>109</v>
      </c>
      <c r="C53" s="28" t="s">
        <v>88</v>
      </c>
      <c r="D53">
        <v>1</v>
      </c>
      <c r="E53" s="28" t="s">
        <v>78</v>
      </c>
      <c r="F53">
        <v>2.7E-2</v>
      </c>
      <c r="G53">
        <v>2.1000000000000001E-2</v>
      </c>
      <c r="H53">
        <v>0.5</v>
      </c>
      <c r="I53" s="24">
        <v>0.13500000000000001</v>
      </c>
      <c r="J53">
        <v>0.1</v>
      </c>
      <c r="K53">
        <v>10</v>
      </c>
      <c r="M53">
        <v>3.89</v>
      </c>
      <c r="N53">
        <v>101</v>
      </c>
      <c r="O53">
        <v>449</v>
      </c>
      <c r="P53" s="21">
        <v>0</v>
      </c>
      <c r="Q53">
        <v>6.7</v>
      </c>
      <c r="R53">
        <v>5.8000000000000003E-2</v>
      </c>
      <c r="S53">
        <v>0</v>
      </c>
      <c r="T53">
        <v>8.0000000000000002E-3</v>
      </c>
      <c r="U53">
        <v>71</v>
      </c>
      <c r="V53">
        <v>18</v>
      </c>
      <c r="W53">
        <v>3.1E-2</v>
      </c>
      <c r="X53">
        <v>1.2</v>
      </c>
      <c r="Y53">
        <v>15</v>
      </c>
      <c r="Z53">
        <v>0</v>
      </c>
      <c r="AA53" s="24">
        <v>0</v>
      </c>
      <c r="AB53" s="24">
        <v>1.25</v>
      </c>
      <c r="AC53" s="24">
        <v>4.3099999999999999E-2</v>
      </c>
      <c r="AD53" s="24">
        <v>1.9E-2</v>
      </c>
      <c r="AE53" s="24">
        <v>1.4E-2</v>
      </c>
      <c r="AF53" s="24">
        <v>0</v>
      </c>
      <c r="AG53" s="24">
        <v>2.7E-2</v>
      </c>
      <c r="AH53" s="24">
        <v>1.7999999999999999E-2</v>
      </c>
      <c r="AI53" s="24">
        <v>2.5000000000000001E-2</v>
      </c>
      <c r="AJ53" s="24">
        <v>123</v>
      </c>
      <c r="AK53" s="24">
        <v>2573</v>
      </c>
      <c r="AL53" s="24">
        <v>2.7E-2</v>
      </c>
      <c r="AM53" s="24">
        <v>11</v>
      </c>
      <c r="AN53" s="24">
        <v>0</v>
      </c>
      <c r="AO53" s="24">
        <v>0.114</v>
      </c>
      <c r="AP53" s="24">
        <v>6.0000000000000001E-3</v>
      </c>
      <c r="AQ53" s="21">
        <v>0.59399999999999997</v>
      </c>
      <c r="AR53" s="24">
        <v>8.8999999999999996E-2</v>
      </c>
      <c r="AS53" s="17">
        <v>2.7E-2</v>
      </c>
      <c r="AT53" s="24">
        <v>24</v>
      </c>
      <c r="AU53" s="24">
        <v>237</v>
      </c>
      <c r="AV53" s="24">
        <v>1.4999999999999999E-2</v>
      </c>
      <c r="AW53" s="24">
        <v>0.88</v>
      </c>
      <c r="AX53" s="24">
        <v>0</v>
      </c>
      <c r="AY53" s="24">
        <v>1.9E-2</v>
      </c>
      <c r="AZ53" s="24">
        <v>0</v>
      </c>
      <c r="BA53" s="24">
        <v>2.5999999999999999E-2</v>
      </c>
      <c r="BB53" s="24">
        <v>5</v>
      </c>
      <c r="BC53" s="24">
        <v>0</v>
      </c>
      <c r="BD53" s="24">
        <v>0</v>
      </c>
      <c r="BE53" s="24">
        <v>2.63</v>
      </c>
      <c r="BF53" s="24">
        <v>0</v>
      </c>
      <c r="BG53" s="24">
        <v>3.6999999999999998E-2</v>
      </c>
      <c r="BH53" s="24">
        <v>2.7E-2</v>
      </c>
      <c r="BI53" s="24">
        <v>0.2</v>
      </c>
      <c r="BJ53" s="24">
        <v>6.0000000000000001E-3</v>
      </c>
      <c r="BK53" s="24">
        <v>1.4E-2</v>
      </c>
      <c r="BL53" s="24">
        <v>1.7999999999999999E-2</v>
      </c>
      <c r="BM53" s="24">
        <v>833</v>
      </c>
      <c r="BN53" s="24">
        <v>42</v>
      </c>
      <c r="BO53" s="24"/>
      <c r="BP53" s="24">
        <v>0.08</v>
      </c>
      <c r="BQ53" s="24">
        <v>13.7</v>
      </c>
      <c r="BR53" s="24">
        <v>0</v>
      </c>
      <c r="BS53" s="24">
        <v>0</v>
      </c>
      <c r="BT53" s="24">
        <v>0.54</v>
      </c>
      <c r="BU53">
        <v>7.3</v>
      </c>
      <c r="BV53">
        <v>0.17</v>
      </c>
    </row>
    <row r="54" spans="1:74" ht="14.4">
      <c r="A54" s="12">
        <v>2342243</v>
      </c>
      <c r="B54" s="12" t="s">
        <v>190</v>
      </c>
      <c r="C54" s="3" t="s">
        <v>88</v>
      </c>
      <c r="D54" s="12">
        <v>1</v>
      </c>
      <c r="E54" s="12" t="s">
        <v>191</v>
      </c>
      <c r="F54" s="15">
        <v>0</v>
      </c>
      <c r="G54">
        <v>0</v>
      </c>
      <c r="H54">
        <v>0</v>
      </c>
      <c r="I54" s="12">
        <v>0</v>
      </c>
      <c r="J54">
        <v>0</v>
      </c>
      <c r="K54">
        <v>13</v>
      </c>
      <c r="M54">
        <v>2.8</v>
      </c>
      <c r="N54">
        <v>7</v>
      </c>
      <c r="O54">
        <v>92</v>
      </c>
      <c r="P54" s="3">
        <v>66</v>
      </c>
      <c r="Q54">
        <v>42.4</v>
      </c>
      <c r="R54">
        <v>4.9000000000000002E-2</v>
      </c>
      <c r="S54">
        <v>18</v>
      </c>
      <c r="T54" s="7">
        <v>0</v>
      </c>
      <c r="U54" s="7">
        <v>0</v>
      </c>
      <c r="V54" s="7">
        <v>235</v>
      </c>
      <c r="W54" s="7">
        <v>4.8739999999999997</v>
      </c>
      <c r="X54" s="7">
        <v>0.4</v>
      </c>
      <c r="Y54" s="7">
        <v>13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2.8000000000000001E-2</v>
      </c>
      <c r="AF54" s="7">
        <v>0</v>
      </c>
      <c r="AG54" s="7">
        <v>0.51</v>
      </c>
      <c r="AH54" s="7">
        <v>0</v>
      </c>
      <c r="AI54" s="7">
        <v>0</v>
      </c>
      <c r="AJ54" s="7">
        <v>82</v>
      </c>
      <c r="AK54" s="7">
        <v>0</v>
      </c>
      <c r="AL54" s="7">
        <v>0</v>
      </c>
      <c r="AM54" s="7">
        <v>15</v>
      </c>
      <c r="AN54" s="8">
        <v>0</v>
      </c>
      <c r="AO54" s="7">
        <v>0</v>
      </c>
      <c r="AP54" s="7">
        <v>0</v>
      </c>
      <c r="AQ54" s="13">
        <v>3.9409999999999998</v>
      </c>
      <c r="AR54" s="7">
        <v>0</v>
      </c>
      <c r="AS54" s="13">
        <v>0</v>
      </c>
      <c r="AT54" s="7">
        <v>131</v>
      </c>
      <c r="AU54" s="7">
        <v>206</v>
      </c>
      <c r="AV54" s="7">
        <v>0</v>
      </c>
      <c r="AW54" s="7">
        <v>13.97</v>
      </c>
      <c r="AX54" s="7">
        <v>7</v>
      </c>
      <c r="AY54" s="7">
        <v>0.111</v>
      </c>
      <c r="AZ54" s="7">
        <v>12.7</v>
      </c>
      <c r="BA54" s="7">
        <v>8.5489999999999995</v>
      </c>
      <c r="BB54" s="7">
        <v>480</v>
      </c>
      <c r="BC54" s="7">
        <v>0</v>
      </c>
      <c r="BD54" s="7">
        <v>0</v>
      </c>
      <c r="BE54" s="7">
        <v>2.1</v>
      </c>
      <c r="BF54" s="7">
        <v>0</v>
      </c>
      <c r="BG54" s="7">
        <v>4.2000000000000003E-2</v>
      </c>
      <c r="BH54" s="7">
        <v>0</v>
      </c>
      <c r="BI54" s="7">
        <v>18.760000000000002</v>
      </c>
      <c r="BJ54" s="7">
        <v>0</v>
      </c>
      <c r="BK54" s="7">
        <v>0</v>
      </c>
      <c r="BL54" s="7">
        <v>0</v>
      </c>
      <c r="BM54" s="7">
        <v>7</v>
      </c>
      <c r="BN54" s="8">
        <v>16</v>
      </c>
      <c r="BO54" s="7">
        <v>0.21</v>
      </c>
      <c r="BP54" s="7">
        <v>0.14499999999999999</v>
      </c>
      <c r="BQ54" s="3">
        <v>0.8</v>
      </c>
      <c r="BR54" s="3">
        <v>0</v>
      </c>
      <c r="BS54" s="4">
        <v>0</v>
      </c>
      <c r="BT54" s="7">
        <v>0.98</v>
      </c>
      <c r="BU54" s="7">
        <v>45.1</v>
      </c>
      <c r="BV54" s="7">
        <v>0.88</v>
      </c>
    </row>
    <row r="55" spans="1:74">
      <c r="B55" s="26" t="s">
        <v>193</v>
      </c>
    </row>
    <row r="56" spans="1:74">
      <c r="B56" s="26" t="s">
        <v>194</v>
      </c>
    </row>
    <row r="57" spans="1:74">
      <c r="B57" s="26" t="s">
        <v>195</v>
      </c>
    </row>
    <row r="58" spans="1:74">
      <c r="B58" s="26" t="s">
        <v>196</v>
      </c>
    </row>
    <row r="59" spans="1:74">
      <c r="B59" s="26" t="s">
        <v>197</v>
      </c>
    </row>
    <row r="60" spans="1:74">
      <c r="B60" s="26" t="s">
        <v>198</v>
      </c>
    </row>
    <row r="62" spans="1:74">
      <c r="F62">
        <f t="shared" ref="F62:BR62" si="4">SUM(F46:F61)</f>
        <v>3.3940000000000001</v>
      </c>
      <c r="G62">
        <f t="shared" si="4"/>
        <v>3.8389999999999995</v>
      </c>
      <c r="H62">
        <f t="shared" si="4"/>
        <v>6.8599999999999994</v>
      </c>
      <c r="I62">
        <f t="shared" si="4"/>
        <v>6.3919999999999995</v>
      </c>
      <c r="J62">
        <f t="shared" si="4"/>
        <v>16.200000000000003</v>
      </c>
      <c r="L62">
        <f t="shared" si="4"/>
        <v>0</v>
      </c>
      <c r="M62">
        <f t="shared" si="4"/>
        <v>67.16</v>
      </c>
      <c r="N62">
        <f t="shared" si="4"/>
        <v>411</v>
      </c>
      <c r="O62">
        <f t="shared" si="4"/>
        <v>1888</v>
      </c>
      <c r="P62">
        <f t="shared" si="4"/>
        <v>196</v>
      </c>
      <c r="Q62">
        <f t="shared" si="4"/>
        <v>269.09999999999991</v>
      </c>
      <c r="R62">
        <f t="shared" si="4"/>
        <v>1.002</v>
      </c>
      <c r="S62">
        <f t="shared" si="4"/>
        <v>18</v>
      </c>
      <c r="T62">
        <f t="shared" si="4"/>
        <v>0.64600000000000002</v>
      </c>
      <c r="U62">
        <f t="shared" si="4"/>
        <v>1769</v>
      </c>
      <c r="V62">
        <f t="shared" si="4"/>
        <v>2048</v>
      </c>
      <c r="W62">
        <f t="shared" si="4"/>
        <v>13.464000000000002</v>
      </c>
      <c r="X62">
        <f t="shared" si="4"/>
        <v>20.199999999999996</v>
      </c>
      <c r="Y62">
        <f t="shared" si="4"/>
        <v>315</v>
      </c>
      <c r="Z62">
        <f t="shared" si="4"/>
        <v>0</v>
      </c>
      <c r="AA62">
        <f t="shared" si="4"/>
        <v>0</v>
      </c>
      <c r="AB62">
        <f t="shared" si="4"/>
        <v>5</v>
      </c>
      <c r="AC62">
        <f t="shared" si="4"/>
        <v>9.0064000000000028</v>
      </c>
      <c r="AD62">
        <f t="shared" si="4"/>
        <v>3.5180000000000007</v>
      </c>
      <c r="AE62">
        <f t="shared" si="4"/>
        <v>1.9020000000000001</v>
      </c>
      <c r="AF62">
        <f t="shared" si="4"/>
        <v>0.54400000000000004</v>
      </c>
      <c r="AG62">
        <f t="shared" si="4"/>
        <v>10.897999999999998</v>
      </c>
      <c r="AH62">
        <f t="shared" si="4"/>
        <v>2.661999999999999</v>
      </c>
      <c r="AI62">
        <f t="shared" si="4"/>
        <v>4.7040000000000015</v>
      </c>
      <c r="AJ62">
        <f t="shared" si="4"/>
        <v>574</v>
      </c>
      <c r="AK62">
        <f t="shared" si="4"/>
        <v>10292</v>
      </c>
      <c r="AL62">
        <f t="shared" si="4"/>
        <v>4.1000000000000005</v>
      </c>
      <c r="AM62">
        <f t="shared" si="4"/>
        <v>232</v>
      </c>
      <c r="AN62">
        <f t="shared" si="4"/>
        <v>0</v>
      </c>
      <c r="AO62">
        <f t="shared" si="4"/>
        <v>1.5560000000000005</v>
      </c>
      <c r="AP62">
        <f t="shared" si="4"/>
        <v>1.333</v>
      </c>
      <c r="AQ62">
        <f t="shared" si="4"/>
        <v>16.979999999999997</v>
      </c>
      <c r="AR62">
        <f t="shared" si="4"/>
        <v>2.0289999999999999</v>
      </c>
      <c r="AS62">
        <f t="shared" si="4"/>
        <v>2.6750000000000007</v>
      </c>
      <c r="AT62">
        <f t="shared" si="4"/>
        <v>848</v>
      </c>
      <c r="AU62">
        <f t="shared" si="4"/>
        <v>2732</v>
      </c>
      <c r="AV62">
        <f t="shared" si="4"/>
        <v>2.8880000000000003</v>
      </c>
      <c r="AW62">
        <f t="shared" si="4"/>
        <v>76.080000000000013</v>
      </c>
      <c r="AX62">
        <f t="shared" si="4"/>
        <v>15</v>
      </c>
      <c r="AY62">
        <f t="shared" si="4"/>
        <v>0.59400000000000008</v>
      </c>
      <c r="AZ62">
        <f t="shared" si="4"/>
        <v>48.400000000000006</v>
      </c>
      <c r="BA62">
        <f t="shared" si="4"/>
        <v>11.265999999999998</v>
      </c>
      <c r="BB62">
        <f t="shared" si="4"/>
        <v>639</v>
      </c>
      <c r="BC62">
        <f t="shared" si="4"/>
        <v>0</v>
      </c>
      <c r="BD62">
        <f t="shared" si="4"/>
        <v>0</v>
      </c>
      <c r="BE62">
        <f t="shared" si="4"/>
        <v>13.28</v>
      </c>
      <c r="BF62">
        <f t="shared" si="4"/>
        <v>0</v>
      </c>
      <c r="BG62">
        <f t="shared" si="4"/>
        <v>0.63600000000000012</v>
      </c>
      <c r="BH62">
        <f t="shared" si="4"/>
        <v>2.4400000000000004</v>
      </c>
      <c r="BI62">
        <f t="shared" si="4"/>
        <v>40.450000000000003</v>
      </c>
      <c r="BJ62">
        <f t="shared" si="4"/>
        <v>0.44800000000000001</v>
      </c>
      <c r="BK62">
        <f t="shared" si="4"/>
        <v>1.8120000000000001</v>
      </c>
      <c r="BL62">
        <f t="shared" si="4"/>
        <v>2.9509999999999992</v>
      </c>
      <c r="BM62">
        <f t="shared" si="4"/>
        <v>3373</v>
      </c>
      <c r="BN62">
        <f t="shared" si="4"/>
        <v>192</v>
      </c>
      <c r="BO62">
        <f t="shared" si="4"/>
        <v>4.63</v>
      </c>
      <c r="BP62">
        <f t="shared" si="4"/>
        <v>1.365</v>
      </c>
      <c r="BQ62">
        <f t="shared" si="4"/>
        <v>55.599999999999994</v>
      </c>
      <c r="BR62">
        <f t="shared" si="4"/>
        <v>6</v>
      </c>
      <c r="BS62">
        <f>SUM(BS46:BS61)</f>
        <v>0</v>
      </c>
      <c r="BT62">
        <f>SUM(BT46:BT61)</f>
        <v>5.2900000000000009</v>
      </c>
      <c r="BU62">
        <f>SUM(BU46:BU61)</f>
        <v>82.7</v>
      </c>
    </row>
    <row r="63" spans="1:74">
      <c r="A63" s="155" t="s">
        <v>206</v>
      </c>
      <c r="B63" s="156"/>
      <c r="F63" s="42">
        <f t="shared" ref="F63:BR63" si="5">F62/6</f>
        <v>0.56566666666666665</v>
      </c>
      <c r="G63" s="42">
        <f t="shared" si="5"/>
        <v>0.63983333333333325</v>
      </c>
      <c r="H63" s="42">
        <f t="shared" si="5"/>
        <v>1.1433333333333333</v>
      </c>
      <c r="I63" s="42">
        <f t="shared" si="5"/>
        <v>1.0653333333333332</v>
      </c>
      <c r="J63" s="42">
        <f t="shared" si="5"/>
        <v>2.7000000000000006</v>
      </c>
      <c r="K63" s="42"/>
      <c r="L63" s="42">
        <f t="shared" si="5"/>
        <v>0</v>
      </c>
      <c r="M63" s="42">
        <f t="shared" si="5"/>
        <v>11.193333333333333</v>
      </c>
      <c r="N63" s="42">
        <f t="shared" si="5"/>
        <v>68.5</v>
      </c>
      <c r="O63" s="42">
        <f t="shared" si="5"/>
        <v>314.66666666666669</v>
      </c>
      <c r="P63" s="42">
        <f t="shared" si="5"/>
        <v>32.666666666666664</v>
      </c>
      <c r="Q63" s="42">
        <f t="shared" si="5"/>
        <v>44.849999999999987</v>
      </c>
      <c r="R63" s="42">
        <f t="shared" si="5"/>
        <v>0.16700000000000001</v>
      </c>
      <c r="S63" s="42">
        <f t="shared" si="5"/>
        <v>3</v>
      </c>
      <c r="T63" s="42">
        <f t="shared" si="5"/>
        <v>0.10766666666666667</v>
      </c>
      <c r="U63" s="42">
        <f t="shared" si="5"/>
        <v>294.83333333333331</v>
      </c>
      <c r="V63" s="42">
        <f t="shared" si="5"/>
        <v>341.33333333333331</v>
      </c>
      <c r="W63" s="42">
        <f t="shared" si="5"/>
        <v>2.2440000000000002</v>
      </c>
      <c r="X63" s="42">
        <f t="shared" si="5"/>
        <v>3.3666666666666658</v>
      </c>
      <c r="Y63" s="42">
        <f t="shared" si="5"/>
        <v>52.5</v>
      </c>
      <c r="Z63" s="42">
        <f t="shared" si="5"/>
        <v>0</v>
      </c>
      <c r="AA63" s="42">
        <f t="shared" si="5"/>
        <v>0</v>
      </c>
      <c r="AB63" s="42">
        <f t="shared" si="5"/>
        <v>0.83333333333333337</v>
      </c>
      <c r="AC63" s="42">
        <f t="shared" si="5"/>
        <v>1.5010666666666672</v>
      </c>
      <c r="AD63" s="42">
        <f t="shared" si="5"/>
        <v>0.58633333333333348</v>
      </c>
      <c r="AE63" s="42">
        <f t="shared" si="5"/>
        <v>0.317</v>
      </c>
      <c r="AF63" s="42">
        <f t="shared" si="5"/>
        <v>9.0666666666666673E-2</v>
      </c>
      <c r="AG63" s="42">
        <f t="shared" si="5"/>
        <v>1.8163333333333329</v>
      </c>
      <c r="AH63" s="42">
        <f t="shared" si="5"/>
        <v>0.44366666666666649</v>
      </c>
      <c r="AI63" s="42">
        <f t="shared" si="5"/>
        <v>0.78400000000000025</v>
      </c>
      <c r="AJ63" s="42">
        <f t="shared" si="5"/>
        <v>95.666666666666671</v>
      </c>
      <c r="AK63" s="42">
        <f t="shared" si="5"/>
        <v>1715.3333333333333</v>
      </c>
      <c r="AL63" s="42">
        <f t="shared" si="5"/>
        <v>0.68333333333333346</v>
      </c>
      <c r="AM63" s="42">
        <f t="shared" si="5"/>
        <v>38.666666666666664</v>
      </c>
      <c r="AN63" s="42">
        <f t="shared" si="5"/>
        <v>0</v>
      </c>
      <c r="AO63" s="42">
        <f t="shared" si="5"/>
        <v>0.25933333333333342</v>
      </c>
      <c r="AP63" s="42">
        <f t="shared" si="5"/>
        <v>0.22216666666666665</v>
      </c>
      <c r="AQ63" s="42">
        <f t="shared" si="5"/>
        <v>2.8299999999999996</v>
      </c>
      <c r="AR63" s="42">
        <f t="shared" si="5"/>
        <v>0.33816666666666667</v>
      </c>
      <c r="AS63" s="42">
        <f t="shared" si="5"/>
        <v>0.44583333333333347</v>
      </c>
      <c r="AT63" s="42">
        <f t="shared" si="5"/>
        <v>141.33333333333334</v>
      </c>
      <c r="AU63" s="42">
        <f t="shared" si="5"/>
        <v>455.33333333333331</v>
      </c>
      <c r="AV63" s="42">
        <f t="shared" si="5"/>
        <v>0.48133333333333339</v>
      </c>
      <c r="AW63" s="42">
        <f t="shared" si="5"/>
        <v>12.680000000000001</v>
      </c>
      <c r="AX63" s="42">
        <f t="shared" si="5"/>
        <v>2.5</v>
      </c>
      <c r="AY63" s="42">
        <f t="shared" si="5"/>
        <v>9.9000000000000019E-2</v>
      </c>
      <c r="AZ63" s="42">
        <f t="shared" si="5"/>
        <v>8.0666666666666682</v>
      </c>
      <c r="BA63" s="42">
        <f t="shared" si="5"/>
        <v>1.8776666666666664</v>
      </c>
      <c r="BB63" s="42">
        <f t="shared" si="5"/>
        <v>106.5</v>
      </c>
      <c r="BC63" s="42">
        <f t="shared" si="5"/>
        <v>0</v>
      </c>
      <c r="BD63" s="42">
        <f t="shared" si="5"/>
        <v>0</v>
      </c>
      <c r="BE63" s="42">
        <f t="shared" si="5"/>
        <v>2.2133333333333334</v>
      </c>
      <c r="BF63" s="42">
        <f t="shared" si="5"/>
        <v>0</v>
      </c>
      <c r="BG63" s="42">
        <f t="shared" si="5"/>
        <v>0.10600000000000002</v>
      </c>
      <c r="BH63" s="42">
        <f t="shared" si="5"/>
        <v>0.40666666666666673</v>
      </c>
      <c r="BI63" s="42">
        <f t="shared" si="5"/>
        <v>6.7416666666666671</v>
      </c>
      <c r="BJ63" s="42">
        <f t="shared" si="5"/>
        <v>7.4666666666666673E-2</v>
      </c>
      <c r="BK63" s="42">
        <f t="shared" si="5"/>
        <v>0.30199999999999999</v>
      </c>
      <c r="BL63" s="42">
        <f t="shared" si="5"/>
        <v>0.49183333333333318</v>
      </c>
      <c r="BM63" s="42">
        <f t="shared" si="5"/>
        <v>562.16666666666663</v>
      </c>
      <c r="BN63" s="42">
        <f t="shared" si="5"/>
        <v>32</v>
      </c>
      <c r="BO63" s="42">
        <f t="shared" si="5"/>
        <v>0.77166666666666661</v>
      </c>
      <c r="BP63" s="42">
        <f t="shared" si="5"/>
        <v>0.22750000000000001</v>
      </c>
      <c r="BQ63" s="42">
        <f t="shared" si="5"/>
        <v>9.2666666666666657</v>
      </c>
      <c r="BR63" s="42">
        <f t="shared" si="5"/>
        <v>1</v>
      </c>
      <c r="BS63" s="42">
        <f>BS62/6</f>
        <v>0</v>
      </c>
      <c r="BT63" s="42">
        <f>BT62/6</f>
        <v>0.88166666666666682</v>
      </c>
      <c r="BU63" s="42">
        <f>BU62/6</f>
        <v>13.783333333333333</v>
      </c>
      <c r="BV63" s="42"/>
    </row>
    <row r="64" spans="1:74" s="39" customFormat="1">
      <c r="A64" s="157" t="s">
        <v>204</v>
      </c>
      <c r="B64" s="157"/>
      <c r="F64" s="40" t="e">
        <f>F63/F44</f>
        <v>#DIV/0!</v>
      </c>
      <c r="G64" s="40" t="e">
        <f t="shared" ref="G64:BR64" si="6">G63/G44</f>
        <v>#DIV/0!</v>
      </c>
      <c r="H64" s="40" t="e">
        <f t="shared" si="6"/>
        <v>#DIV/0!</v>
      </c>
      <c r="I64" s="40" t="e">
        <f t="shared" si="6"/>
        <v>#DIV/0!</v>
      </c>
      <c r="J64" s="40" t="e">
        <f t="shared" si="6"/>
        <v>#DIV/0!</v>
      </c>
      <c r="K64" s="40">
        <f t="shared" si="6"/>
        <v>0</v>
      </c>
      <c r="L64" s="40">
        <f t="shared" si="6"/>
        <v>0</v>
      </c>
      <c r="M64" s="40" t="e">
        <f t="shared" si="6"/>
        <v>#DIV/0!</v>
      </c>
      <c r="N64" s="40" t="e">
        <f t="shared" si="6"/>
        <v>#DIV/0!</v>
      </c>
      <c r="O64" s="40" t="e">
        <f t="shared" si="6"/>
        <v>#DIV/0!</v>
      </c>
      <c r="P64" s="40" t="e">
        <f t="shared" si="6"/>
        <v>#DIV/0!</v>
      </c>
      <c r="Q64" s="40">
        <f t="shared" si="6"/>
        <v>0.8969999999999998</v>
      </c>
      <c r="R64" s="40">
        <f t="shared" si="6"/>
        <v>8.3500000000000005E-2</v>
      </c>
      <c r="S64" s="40" t="e">
        <f t="shared" si="6"/>
        <v>#DIV/0!</v>
      </c>
      <c r="T64" s="40">
        <f t="shared" si="6"/>
        <v>7.1777777777777786E-3</v>
      </c>
      <c r="U64" s="40" t="e">
        <f t="shared" si="6"/>
        <v>#DIV/0!</v>
      </c>
      <c r="V64" s="40" t="e">
        <f t="shared" si="6"/>
        <v>#DIV/0!</v>
      </c>
      <c r="W64" s="40" t="e">
        <f t="shared" si="6"/>
        <v>#DIV/0!</v>
      </c>
      <c r="X64" s="40" t="e">
        <f t="shared" si="6"/>
        <v>#DIV/0!</v>
      </c>
      <c r="Y64" s="40">
        <f t="shared" si="6"/>
        <v>0.13125000000000001</v>
      </c>
      <c r="Z64" s="40">
        <f t="shared" si="6"/>
        <v>0</v>
      </c>
      <c r="AA64" s="40" t="e">
        <f t="shared" si="6"/>
        <v>#DIV/0!</v>
      </c>
      <c r="AB64" s="40" t="e">
        <f t="shared" si="6"/>
        <v>#DIV/0!</v>
      </c>
      <c r="AC64" s="40" t="e">
        <f t="shared" si="6"/>
        <v>#DIV/0!</v>
      </c>
      <c r="AD64" s="40" t="e">
        <f t="shared" si="6"/>
        <v>#DIV/0!</v>
      </c>
      <c r="AE64" s="40">
        <f t="shared" si="6"/>
        <v>2.8818181818181819E-2</v>
      </c>
      <c r="AF64" s="40" t="e">
        <f t="shared" si="6"/>
        <v>#DIV/0!</v>
      </c>
      <c r="AG64" s="40">
        <f t="shared" si="6"/>
        <v>0.10090740740740739</v>
      </c>
      <c r="AH64" s="40">
        <f t="shared" si="6"/>
        <v>2.9577777777777765E-2</v>
      </c>
      <c r="AI64" s="40">
        <f t="shared" si="6"/>
        <v>2.305882352941177E-2</v>
      </c>
      <c r="AJ64" s="40">
        <f t="shared" si="6"/>
        <v>1.0629629629629631</v>
      </c>
      <c r="AK64" s="40" t="e">
        <f t="shared" si="6"/>
        <v>#DIV/0!</v>
      </c>
      <c r="AL64" s="40">
        <f t="shared" si="6"/>
        <v>2.2043010752688177E-2</v>
      </c>
      <c r="AM64" s="40">
        <f t="shared" si="6"/>
        <v>5.1555555555555556E-2</v>
      </c>
      <c r="AN64" s="40" t="e">
        <f t="shared" si="6"/>
        <v>#DIV/0!</v>
      </c>
      <c r="AO64" s="40">
        <f t="shared" si="6"/>
        <v>8.6444444444444477E-2</v>
      </c>
      <c r="AP64" s="40">
        <f t="shared" si="6"/>
        <v>1.481111111111111E-2</v>
      </c>
      <c r="AQ64" s="40">
        <f t="shared" si="6"/>
        <v>0.18866666666666665</v>
      </c>
      <c r="AR64" s="40">
        <f t="shared" si="6"/>
        <v>6.763333333333333E-3</v>
      </c>
      <c r="AS64" s="40">
        <f t="shared" si="6"/>
        <v>1.6512345679012351E-2</v>
      </c>
      <c r="AT64" s="40">
        <f t="shared" si="6"/>
        <v>0.20190476190476192</v>
      </c>
      <c r="AU64" s="40">
        <f t="shared" si="6"/>
        <v>4.5533333333333328</v>
      </c>
      <c r="AV64" s="40" t="e">
        <f t="shared" si="6"/>
        <v>#DIV/0!</v>
      </c>
      <c r="AW64" s="40" t="e">
        <f t="shared" si="6"/>
        <v>#DIV/0!</v>
      </c>
      <c r="AX64" s="40">
        <f t="shared" si="6"/>
        <v>5.0000000000000001E-4</v>
      </c>
      <c r="AY64" s="40">
        <f t="shared" si="6"/>
        <v>6.6000000000000008E-3</v>
      </c>
      <c r="AZ64" s="40">
        <f t="shared" si="6"/>
        <v>8.0666666666666678E-2</v>
      </c>
      <c r="BA64" s="40" t="e">
        <f t="shared" si="6"/>
        <v>#DIV/0!</v>
      </c>
      <c r="BB64" s="40">
        <f t="shared" si="6"/>
        <v>7.0999999999999994E-2</v>
      </c>
      <c r="BC64" s="40" t="e">
        <f t="shared" si="6"/>
        <v>#DIV/0!</v>
      </c>
      <c r="BD64" s="40" t="e">
        <f t="shared" si="6"/>
        <v>#DIV/0!</v>
      </c>
      <c r="BE64" s="40" t="e">
        <f t="shared" si="6"/>
        <v>#DIV/0!</v>
      </c>
      <c r="BF64" s="40" t="e">
        <f t="shared" si="6"/>
        <v>#DIV/0!</v>
      </c>
      <c r="BG64" s="40">
        <f t="shared" si="6"/>
        <v>2.1200000000000004E-3</v>
      </c>
      <c r="BH64" s="40">
        <f t="shared" si="6"/>
        <v>2.5416666666666671E-2</v>
      </c>
      <c r="BI64" s="40" t="e">
        <f t="shared" si="6"/>
        <v>#DIV/0!</v>
      </c>
      <c r="BJ64" s="40">
        <f t="shared" si="6"/>
        <v>1.8666666666666668E-2</v>
      </c>
      <c r="BK64" s="40">
        <f t="shared" si="6"/>
        <v>1.1185185185185185E-2</v>
      </c>
      <c r="BL64" s="40">
        <f t="shared" si="6"/>
        <v>2.5885964912280693E-2</v>
      </c>
      <c r="BM64" s="40">
        <f t="shared" si="6"/>
        <v>0.80309523809523808</v>
      </c>
      <c r="BN64" s="40" t="e">
        <f t="shared" si="6"/>
        <v>#DIV/0!</v>
      </c>
      <c r="BO64" s="40">
        <f t="shared" si="6"/>
        <v>3.858333333333333E-3</v>
      </c>
      <c r="BP64" s="40">
        <f t="shared" si="6"/>
        <v>4.5500000000000002E-3</v>
      </c>
      <c r="BQ64" s="40">
        <f t="shared" si="6"/>
        <v>8.424242424242423E-2</v>
      </c>
      <c r="BR64" s="40">
        <f t="shared" si="6"/>
        <v>2.5000000000000001E-3</v>
      </c>
      <c r="BS64" s="40">
        <f>BS63/BS44</f>
        <v>0</v>
      </c>
      <c r="BT64" s="40">
        <f>BT63/BT44</f>
        <v>2.2041666666666672E-3</v>
      </c>
      <c r="BU64" s="40">
        <f>BU63/BU44</f>
        <v>0.13783333333333334</v>
      </c>
      <c r="BV64" s="40">
        <f>BV63/BV44</f>
        <v>0</v>
      </c>
    </row>
    <row r="71" spans="1:57">
      <c r="A71" t="s">
        <v>378</v>
      </c>
    </row>
    <row r="72" spans="1:57" s="44" customFormat="1" ht="15" customHeight="1">
      <c r="A72" s="98">
        <v>2706482</v>
      </c>
      <c r="B72" s="44" t="s">
        <v>259</v>
      </c>
      <c r="C72" s="77" t="s">
        <v>11</v>
      </c>
      <c r="D72" s="50" t="s">
        <v>322</v>
      </c>
      <c r="E72" s="98">
        <v>420</v>
      </c>
      <c r="F72" s="62">
        <v>8.74</v>
      </c>
      <c r="G72" s="46">
        <v>3.93</v>
      </c>
      <c r="H72" s="46">
        <v>10.67</v>
      </c>
      <c r="I72" s="44">
        <v>0</v>
      </c>
      <c r="J72" s="46">
        <v>115</v>
      </c>
      <c r="K72" s="46">
        <v>2.02</v>
      </c>
      <c r="L72" s="46">
        <v>0.04</v>
      </c>
      <c r="M72" s="46">
        <v>1.17</v>
      </c>
      <c r="N72" s="46">
        <v>11</v>
      </c>
      <c r="O72" s="46">
        <v>68</v>
      </c>
      <c r="P72" s="46">
        <v>114</v>
      </c>
      <c r="Q72" s="46">
        <v>274</v>
      </c>
      <c r="R72" s="46">
        <v>1.82</v>
      </c>
      <c r="S72" s="46">
        <v>0.05</v>
      </c>
      <c r="T72" s="46">
        <v>0</v>
      </c>
      <c r="U72" s="46">
        <v>9.4</v>
      </c>
      <c r="V72" s="46">
        <v>7</v>
      </c>
      <c r="W72" s="46">
        <v>0.17</v>
      </c>
      <c r="X72" s="46">
        <v>0</v>
      </c>
      <c r="Y72" s="46">
        <v>0</v>
      </c>
      <c r="Z72" s="46">
        <v>4</v>
      </c>
      <c r="AA72" s="46">
        <v>0.1</v>
      </c>
      <c r="AB72" s="46">
        <v>8.8999999999999996E-2</v>
      </c>
      <c r="AC72" s="46">
        <v>0.11</v>
      </c>
      <c r="AD72" s="46">
        <v>1.67</v>
      </c>
      <c r="AE72" s="46">
        <v>0</v>
      </c>
      <c r="AF72" s="46">
        <v>7.0000000000000007E-2</v>
      </c>
      <c r="AG72" s="46">
        <v>0.53</v>
      </c>
      <c r="AH72" s="46">
        <v>23.4</v>
      </c>
      <c r="AI72" s="46">
        <v>2.1</v>
      </c>
      <c r="AJ72" s="46">
        <v>2</v>
      </c>
      <c r="AK72" s="46">
        <v>20</v>
      </c>
      <c r="AL72" s="46">
        <v>0</v>
      </c>
      <c r="AM72" s="46">
        <v>0</v>
      </c>
      <c r="AN72" s="46">
        <v>0</v>
      </c>
      <c r="AO72" s="46">
        <v>0</v>
      </c>
      <c r="AP72" s="46">
        <v>0</v>
      </c>
      <c r="AQ72" s="46">
        <v>0</v>
      </c>
      <c r="AR72" s="46">
        <v>0</v>
      </c>
      <c r="AS72" s="46">
        <v>0</v>
      </c>
      <c r="AT72" s="46">
        <v>0</v>
      </c>
      <c r="AU72" s="46">
        <v>0</v>
      </c>
      <c r="AV72" s="46">
        <v>0</v>
      </c>
      <c r="AW72" s="46">
        <v>0</v>
      </c>
      <c r="AX72" s="46">
        <v>0</v>
      </c>
      <c r="AY72" s="46">
        <v>0</v>
      </c>
      <c r="AZ72" s="46">
        <v>0</v>
      </c>
      <c r="BA72" s="46">
        <v>0</v>
      </c>
      <c r="BB72" s="46">
        <v>0</v>
      </c>
      <c r="BC72" s="46">
        <v>0</v>
      </c>
      <c r="BD72" s="46">
        <v>23</v>
      </c>
      <c r="BE72" s="46">
        <v>1.55</v>
      </c>
    </row>
    <row r="73" spans="1:57" s="44" customFormat="1" ht="15" customHeight="1">
      <c r="A73" s="98">
        <v>2706482</v>
      </c>
      <c r="B73" s="44" t="s">
        <v>259</v>
      </c>
      <c r="C73" s="77" t="s">
        <v>11</v>
      </c>
      <c r="D73" s="50" t="s">
        <v>322</v>
      </c>
      <c r="E73" s="98">
        <v>420</v>
      </c>
      <c r="F73" s="62">
        <v>8.74</v>
      </c>
      <c r="G73" s="46">
        <v>3.93</v>
      </c>
      <c r="H73" s="46">
        <v>10.67</v>
      </c>
      <c r="I73" s="44">
        <v>0</v>
      </c>
      <c r="J73" s="46">
        <v>115</v>
      </c>
      <c r="K73" s="46">
        <v>2.02</v>
      </c>
      <c r="L73" s="46">
        <v>0.04</v>
      </c>
      <c r="M73" s="46">
        <v>1.17</v>
      </c>
      <c r="N73" s="46">
        <v>11</v>
      </c>
      <c r="O73" s="46">
        <v>68</v>
      </c>
      <c r="P73" s="46">
        <v>114</v>
      </c>
      <c r="Q73" s="46">
        <v>274</v>
      </c>
      <c r="R73" s="46">
        <v>1.82</v>
      </c>
      <c r="S73" s="46">
        <v>0.05</v>
      </c>
      <c r="T73" s="46">
        <v>0</v>
      </c>
      <c r="U73" s="46">
        <v>9.4</v>
      </c>
      <c r="V73" s="46">
        <v>7</v>
      </c>
      <c r="W73" s="46">
        <v>0.17</v>
      </c>
      <c r="X73" s="46">
        <v>0</v>
      </c>
      <c r="Y73" s="46">
        <v>0</v>
      </c>
      <c r="Z73" s="46">
        <v>4</v>
      </c>
      <c r="AA73" s="46">
        <v>0.1</v>
      </c>
      <c r="AB73" s="46">
        <v>8.8999999999999996E-2</v>
      </c>
      <c r="AC73" s="46">
        <v>0.11</v>
      </c>
      <c r="AD73" s="46">
        <v>1.67</v>
      </c>
      <c r="AE73" s="46">
        <v>0</v>
      </c>
      <c r="AF73" s="46">
        <v>7.0000000000000007E-2</v>
      </c>
      <c r="AG73" s="46">
        <v>0.53</v>
      </c>
      <c r="AH73" s="46">
        <v>23.4</v>
      </c>
      <c r="AI73" s="46">
        <v>2.1</v>
      </c>
      <c r="AJ73" s="46">
        <v>2</v>
      </c>
      <c r="AK73" s="46">
        <v>20</v>
      </c>
      <c r="AL73" s="46">
        <v>0</v>
      </c>
      <c r="AM73" s="46">
        <v>0</v>
      </c>
      <c r="AN73" s="46">
        <v>0</v>
      </c>
      <c r="AO73" s="46">
        <v>0</v>
      </c>
      <c r="AP73" s="46">
        <v>0</v>
      </c>
      <c r="AQ73" s="46">
        <v>0</v>
      </c>
      <c r="AR73" s="46">
        <v>0</v>
      </c>
      <c r="AS73" s="46">
        <v>0</v>
      </c>
      <c r="AT73" s="46">
        <v>0</v>
      </c>
      <c r="AU73" s="46">
        <v>0</v>
      </c>
      <c r="AV73" s="46">
        <v>0</v>
      </c>
      <c r="AW73" s="46">
        <v>0</v>
      </c>
      <c r="AX73" s="46">
        <v>0</v>
      </c>
      <c r="AY73" s="46">
        <v>0</v>
      </c>
      <c r="AZ73" s="46">
        <v>0</v>
      </c>
      <c r="BA73" s="46">
        <v>0</v>
      </c>
      <c r="BB73" s="46">
        <v>0</v>
      </c>
      <c r="BC73" s="46">
        <v>0</v>
      </c>
      <c r="BD73" s="46">
        <v>23</v>
      </c>
      <c r="BE73" s="46">
        <v>1.55</v>
      </c>
    </row>
    <row r="74" spans="1:57" s="44" customFormat="1" ht="15" customHeight="1">
      <c r="A74" s="98">
        <v>170457</v>
      </c>
      <c r="B74" s="44" t="s">
        <v>109</v>
      </c>
      <c r="C74" s="50" t="s">
        <v>88</v>
      </c>
      <c r="D74" s="50" t="s">
        <v>221</v>
      </c>
      <c r="E74" s="98">
        <v>180</v>
      </c>
      <c r="F74" s="44">
        <v>0.88</v>
      </c>
      <c r="G74" s="45">
        <v>0.2</v>
      </c>
      <c r="H74" s="44">
        <v>3.89</v>
      </c>
      <c r="I74" s="45">
        <v>0.5</v>
      </c>
      <c r="J74" s="45">
        <v>18</v>
      </c>
      <c r="K74" s="45">
        <v>2.63</v>
      </c>
      <c r="L74" s="44">
        <v>1.2</v>
      </c>
      <c r="M74" s="45">
        <v>2.7E-2</v>
      </c>
      <c r="N74" s="45">
        <v>11</v>
      </c>
      <c r="O74" s="45">
        <v>24</v>
      </c>
      <c r="P74" s="45">
        <v>237</v>
      </c>
      <c r="Q74" s="45">
        <v>5</v>
      </c>
      <c r="R74" s="45">
        <v>0.17</v>
      </c>
      <c r="S74" s="45">
        <v>5.8000000000000003E-2</v>
      </c>
      <c r="T74" s="45">
        <v>0.114</v>
      </c>
      <c r="U74" s="45">
        <v>0</v>
      </c>
      <c r="V74" s="45">
        <v>0</v>
      </c>
      <c r="W74" s="45">
        <v>0.54</v>
      </c>
      <c r="X74" s="45">
        <v>0</v>
      </c>
      <c r="Y74" s="44">
        <v>0</v>
      </c>
      <c r="Z74" s="45">
        <v>123</v>
      </c>
      <c r="AA74" s="45">
        <v>13.7</v>
      </c>
      <c r="AB74" s="45">
        <v>3.6999999999999998E-2</v>
      </c>
      <c r="AC74" s="45">
        <v>1.9E-2</v>
      </c>
      <c r="AD74" s="44">
        <v>0.59399999999999997</v>
      </c>
      <c r="AE74" s="45">
        <v>8.8999999999999996E-2</v>
      </c>
      <c r="AF74" s="44">
        <v>0.08</v>
      </c>
      <c r="AG74" s="45"/>
      <c r="AH74" s="44">
        <v>6.7</v>
      </c>
      <c r="AI74" s="44">
        <v>7.3</v>
      </c>
      <c r="AJ74" s="44">
        <v>10</v>
      </c>
      <c r="AK74" s="44">
        <v>15</v>
      </c>
      <c r="AL74" s="44">
        <v>0.1</v>
      </c>
      <c r="AM74" s="45">
        <v>6.0000000000000001E-3</v>
      </c>
      <c r="AN74" s="45">
        <v>2.7E-2</v>
      </c>
      <c r="AO74" s="45">
        <v>1.7999999999999999E-2</v>
      </c>
      <c r="AP74" s="45">
        <v>2.5000000000000001E-2</v>
      </c>
      <c r="AQ74" s="45">
        <v>2.7E-2</v>
      </c>
      <c r="AR74" s="45">
        <v>6.0000000000000001E-3</v>
      </c>
      <c r="AS74" s="44">
        <v>8.0000000000000002E-3</v>
      </c>
      <c r="AT74" s="45">
        <v>2.7E-2</v>
      </c>
      <c r="AU74" s="45">
        <v>1.4E-2</v>
      </c>
      <c r="AV74" s="45">
        <v>1.7999999999999999E-2</v>
      </c>
      <c r="AW74" s="44">
        <v>2.1000000000000001E-2</v>
      </c>
      <c r="AX74" s="45">
        <v>2.7E-2</v>
      </c>
      <c r="AY74" s="45">
        <v>0.13500000000000001</v>
      </c>
      <c r="AZ74" s="45">
        <v>4.3099999999999999E-2</v>
      </c>
      <c r="BA74" s="45">
        <v>1.9E-2</v>
      </c>
      <c r="BB74" s="45">
        <v>1.4999999999999999E-2</v>
      </c>
      <c r="BC74" s="45">
        <v>2.5999999999999999E-2</v>
      </c>
      <c r="BD74" s="45">
        <v>0</v>
      </c>
      <c r="BE74" s="44">
        <v>3.1E-2</v>
      </c>
    </row>
    <row r="75" spans="1:57" s="44" customFormat="1" ht="15" customHeight="1">
      <c r="A75" s="98">
        <v>170457</v>
      </c>
      <c r="B75" s="44" t="s">
        <v>109</v>
      </c>
      <c r="C75" s="50" t="s">
        <v>88</v>
      </c>
      <c r="D75" s="50" t="s">
        <v>221</v>
      </c>
      <c r="E75" s="98">
        <v>180</v>
      </c>
      <c r="F75" s="44">
        <v>0.88</v>
      </c>
      <c r="G75" s="45">
        <v>0.2</v>
      </c>
      <c r="H75" s="44">
        <v>3.89</v>
      </c>
      <c r="I75" s="45">
        <v>0.5</v>
      </c>
      <c r="J75" s="45">
        <v>18</v>
      </c>
      <c r="K75" s="45">
        <v>2.63</v>
      </c>
      <c r="L75" s="44">
        <v>1.2</v>
      </c>
      <c r="M75" s="45">
        <v>2.7E-2</v>
      </c>
      <c r="N75" s="45">
        <v>11</v>
      </c>
      <c r="O75" s="45">
        <v>24</v>
      </c>
      <c r="P75" s="45">
        <v>237</v>
      </c>
      <c r="Q75" s="45">
        <v>5</v>
      </c>
      <c r="R75" s="45">
        <v>0.17</v>
      </c>
      <c r="S75" s="45">
        <v>5.8000000000000003E-2</v>
      </c>
      <c r="T75" s="45">
        <v>0.114</v>
      </c>
      <c r="U75" s="45">
        <v>0</v>
      </c>
      <c r="V75" s="45">
        <v>0</v>
      </c>
      <c r="W75" s="45">
        <v>0.54</v>
      </c>
      <c r="X75" s="45">
        <v>0</v>
      </c>
      <c r="Y75" s="44">
        <v>0</v>
      </c>
      <c r="Z75" s="45">
        <v>123</v>
      </c>
      <c r="AA75" s="45">
        <v>13.7</v>
      </c>
      <c r="AB75" s="45">
        <v>3.6999999999999998E-2</v>
      </c>
      <c r="AC75" s="45">
        <v>1.9E-2</v>
      </c>
      <c r="AD75" s="44">
        <v>0.59399999999999997</v>
      </c>
      <c r="AE75" s="45">
        <v>8.8999999999999996E-2</v>
      </c>
      <c r="AF75" s="44">
        <v>0.08</v>
      </c>
      <c r="AG75" s="45"/>
      <c r="AH75" s="44">
        <v>6.7</v>
      </c>
      <c r="AI75" s="44">
        <v>7.3</v>
      </c>
      <c r="AJ75" s="44">
        <v>10</v>
      </c>
      <c r="AK75" s="44">
        <v>15</v>
      </c>
      <c r="AL75" s="44">
        <v>0.1</v>
      </c>
      <c r="AM75" s="45">
        <v>6.0000000000000001E-3</v>
      </c>
      <c r="AN75" s="45">
        <v>2.7E-2</v>
      </c>
      <c r="AO75" s="45">
        <v>1.7999999999999999E-2</v>
      </c>
      <c r="AP75" s="45">
        <v>2.5000000000000001E-2</v>
      </c>
      <c r="AQ75" s="45">
        <v>2.7E-2</v>
      </c>
      <c r="AR75" s="45">
        <v>6.0000000000000001E-3</v>
      </c>
      <c r="AS75" s="44">
        <v>8.0000000000000002E-3</v>
      </c>
      <c r="AT75" s="45">
        <v>2.7E-2</v>
      </c>
      <c r="AU75" s="45">
        <v>1.4E-2</v>
      </c>
      <c r="AV75" s="45">
        <v>1.7999999999999999E-2</v>
      </c>
      <c r="AW75" s="44">
        <v>2.1000000000000001E-2</v>
      </c>
      <c r="AX75" s="45">
        <v>2.7E-2</v>
      </c>
      <c r="AY75" s="45">
        <v>0.13500000000000001</v>
      </c>
      <c r="AZ75" s="45">
        <v>4.3099999999999999E-2</v>
      </c>
      <c r="BA75" s="45">
        <v>1.9E-2</v>
      </c>
      <c r="BB75" s="45">
        <v>1.4999999999999999E-2</v>
      </c>
      <c r="BC75" s="45">
        <v>2.5999999999999999E-2</v>
      </c>
      <c r="BD75" s="45">
        <v>0</v>
      </c>
      <c r="BE75" s="44">
        <v>3.1E-2</v>
      </c>
    </row>
    <row r="76" spans="1:57" s="44" customFormat="1" ht="15" customHeight="1">
      <c r="A76" s="98">
        <v>790646</v>
      </c>
      <c r="B76" s="44" t="s">
        <v>305</v>
      </c>
      <c r="C76" s="50" t="s">
        <v>311</v>
      </c>
      <c r="D76" s="60" t="s">
        <v>232</v>
      </c>
      <c r="E76" s="110">
        <v>140</v>
      </c>
      <c r="F76" s="62">
        <v>0.83</v>
      </c>
      <c r="G76" s="46">
        <v>0.05</v>
      </c>
      <c r="H76" s="46">
        <v>8.61</v>
      </c>
      <c r="I76" s="62">
        <v>0</v>
      </c>
      <c r="J76" s="46">
        <v>38</v>
      </c>
      <c r="K76" s="46">
        <v>5.82</v>
      </c>
      <c r="L76" s="46">
        <v>1.9</v>
      </c>
      <c r="M76" s="46">
        <v>0.28000000000000003</v>
      </c>
      <c r="N76" s="46">
        <v>9</v>
      </c>
      <c r="O76" s="46">
        <v>34</v>
      </c>
      <c r="P76" s="46">
        <v>182</v>
      </c>
      <c r="Q76" s="46">
        <v>1</v>
      </c>
      <c r="R76" s="46">
        <v>0.2</v>
      </c>
      <c r="S76" s="46">
        <v>3.5000000000000003E-2</v>
      </c>
      <c r="T76" s="46">
        <v>0</v>
      </c>
      <c r="U76" s="46">
        <v>0</v>
      </c>
      <c r="V76" s="46">
        <v>0</v>
      </c>
      <c r="W76" s="46">
        <v>0.02</v>
      </c>
      <c r="X76" s="46">
        <v>0</v>
      </c>
      <c r="Y76" s="46">
        <v>0</v>
      </c>
      <c r="Z76" s="46">
        <v>4</v>
      </c>
      <c r="AA76" s="46">
        <v>8.1999999999999993</v>
      </c>
      <c r="AB76" s="46">
        <v>4.5999999999999999E-2</v>
      </c>
      <c r="AC76" s="46">
        <v>2.7E-2</v>
      </c>
      <c r="AD76" s="46">
        <v>0.11600000000000001</v>
      </c>
      <c r="AE76" s="46">
        <v>0</v>
      </c>
      <c r="AF76" s="46">
        <v>0.12</v>
      </c>
      <c r="AG76" s="46">
        <v>0</v>
      </c>
      <c r="AH76" s="46">
        <v>6.1</v>
      </c>
      <c r="AI76" s="46">
        <v>0.4</v>
      </c>
      <c r="AJ76" s="46">
        <v>19</v>
      </c>
      <c r="AK76" s="46">
        <v>19</v>
      </c>
      <c r="AL76" s="46">
        <v>0</v>
      </c>
      <c r="AM76" s="46">
        <v>0</v>
      </c>
      <c r="AN76" s="46">
        <v>0</v>
      </c>
      <c r="AO76" s="46">
        <v>0</v>
      </c>
      <c r="AP76" s="46">
        <v>0</v>
      </c>
      <c r="AQ76" s="46">
        <v>0</v>
      </c>
      <c r="AR76" s="46">
        <v>0</v>
      </c>
      <c r="AS76" s="46">
        <v>0</v>
      </c>
      <c r="AT76" s="46">
        <v>0</v>
      </c>
      <c r="AU76" s="46">
        <v>0</v>
      </c>
      <c r="AV76" s="46">
        <v>0</v>
      </c>
      <c r="AW76" s="46">
        <v>0</v>
      </c>
      <c r="AX76" s="46">
        <v>0</v>
      </c>
      <c r="AY76" s="46">
        <v>0</v>
      </c>
      <c r="AZ76" s="46">
        <v>0</v>
      </c>
      <c r="BA76" s="46">
        <v>0</v>
      </c>
      <c r="BB76" s="46">
        <v>0</v>
      </c>
      <c r="BC76" s="46">
        <v>0</v>
      </c>
      <c r="BD76" s="46">
        <v>0</v>
      </c>
      <c r="BE76" s="46">
        <v>1.2999999999999999E-2</v>
      </c>
    </row>
    <row r="77" spans="1:57" s="44" customFormat="1" ht="15" customHeight="1">
      <c r="A77" s="98">
        <v>2709932</v>
      </c>
      <c r="B77" s="44" t="s">
        <v>261</v>
      </c>
      <c r="C77" s="60" t="s">
        <v>88</v>
      </c>
      <c r="D77" s="60" t="s">
        <v>262</v>
      </c>
      <c r="E77" s="110">
        <v>3</v>
      </c>
      <c r="F77" s="62">
        <v>2.29</v>
      </c>
      <c r="G77" s="46">
        <v>2.71</v>
      </c>
      <c r="H77" s="62">
        <v>4.41</v>
      </c>
      <c r="I77" s="62">
        <v>0</v>
      </c>
      <c r="J77" s="46">
        <v>46</v>
      </c>
      <c r="K77" s="46">
        <v>1.23</v>
      </c>
      <c r="L77" s="46">
        <v>2.8</v>
      </c>
      <c r="M77" s="46">
        <v>0.5</v>
      </c>
      <c r="N77" s="46">
        <v>11</v>
      </c>
      <c r="O77" s="46">
        <v>36</v>
      </c>
      <c r="P77" s="46">
        <v>136</v>
      </c>
      <c r="Q77" s="46">
        <v>135</v>
      </c>
      <c r="R77" s="46">
        <v>0.2</v>
      </c>
      <c r="S77" s="46">
        <v>2.8000000000000001E-2</v>
      </c>
      <c r="T77" s="46">
        <v>0</v>
      </c>
      <c r="U77" s="46">
        <v>0.6</v>
      </c>
      <c r="V77" s="46">
        <v>11</v>
      </c>
      <c r="W77" s="46">
        <v>1.05</v>
      </c>
      <c r="X77" s="46">
        <v>0</v>
      </c>
      <c r="Y77" s="46">
        <v>1</v>
      </c>
      <c r="Z77" s="46">
        <v>542</v>
      </c>
      <c r="AA77" s="46">
        <v>34.6</v>
      </c>
      <c r="AB77" s="46">
        <v>4.4999999999999998E-2</v>
      </c>
      <c r="AC77" s="46">
        <v>6.5000000000000002E-2</v>
      </c>
      <c r="AD77" s="46">
        <v>0.372</v>
      </c>
      <c r="AE77" s="46">
        <v>0</v>
      </c>
      <c r="AF77" s="46">
        <v>0.122</v>
      </c>
      <c r="AG77" s="46">
        <v>0</v>
      </c>
      <c r="AH77" s="46">
        <v>24.3</v>
      </c>
      <c r="AI77" s="46">
        <v>50.5</v>
      </c>
      <c r="AJ77" s="46">
        <v>47</v>
      </c>
      <c r="AK77" s="46">
        <v>47</v>
      </c>
      <c r="AL77" s="46">
        <v>0</v>
      </c>
      <c r="AM77" s="46">
        <v>0</v>
      </c>
      <c r="AN77" s="46">
        <v>0</v>
      </c>
      <c r="AO77" s="46">
        <v>0</v>
      </c>
      <c r="AP77" s="46">
        <v>0</v>
      </c>
      <c r="AQ77" s="46">
        <v>0</v>
      </c>
      <c r="AR77" s="46">
        <v>0</v>
      </c>
      <c r="AS77" s="46">
        <v>0</v>
      </c>
      <c r="AT77" s="46">
        <v>0</v>
      </c>
      <c r="AU77" s="46">
        <v>0</v>
      </c>
      <c r="AV77" s="46">
        <v>0</v>
      </c>
      <c r="AW77" s="46">
        <v>0</v>
      </c>
      <c r="AX77" s="46">
        <v>0</v>
      </c>
      <c r="AY77" s="46">
        <v>0</v>
      </c>
      <c r="AZ77" s="46">
        <v>0</v>
      </c>
      <c r="BA77" s="46">
        <v>0</v>
      </c>
      <c r="BB77" s="46">
        <v>0</v>
      </c>
      <c r="BC77" s="46">
        <v>0</v>
      </c>
      <c r="BD77" s="46">
        <v>2</v>
      </c>
      <c r="BE77" s="46">
        <v>0.91500000000000004</v>
      </c>
    </row>
    <row r="78" spans="1:57" s="44" customFormat="1" ht="15" customHeight="1">
      <c r="A78" s="98">
        <v>2709932</v>
      </c>
      <c r="B78" s="44" t="s">
        <v>261</v>
      </c>
      <c r="C78" s="60" t="s">
        <v>88</v>
      </c>
      <c r="D78" s="60" t="s">
        <v>262</v>
      </c>
      <c r="E78" s="110">
        <v>3</v>
      </c>
      <c r="F78" s="62">
        <v>2.29</v>
      </c>
      <c r="G78" s="46">
        <v>2.71</v>
      </c>
      <c r="H78" s="62">
        <v>4.41</v>
      </c>
      <c r="I78" s="62">
        <v>0</v>
      </c>
      <c r="J78" s="46">
        <v>46</v>
      </c>
      <c r="K78" s="46">
        <v>1.23</v>
      </c>
      <c r="L78" s="46">
        <v>2.8</v>
      </c>
      <c r="M78" s="46">
        <v>0.5</v>
      </c>
      <c r="N78" s="46">
        <v>11</v>
      </c>
      <c r="O78" s="46">
        <v>36</v>
      </c>
      <c r="P78" s="46">
        <v>136</v>
      </c>
      <c r="Q78" s="46">
        <v>135</v>
      </c>
      <c r="R78" s="46">
        <v>0.2</v>
      </c>
      <c r="S78" s="46">
        <v>2.8000000000000001E-2</v>
      </c>
      <c r="T78" s="46">
        <v>0</v>
      </c>
      <c r="U78" s="46">
        <v>0.6</v>
      </c>
      <c r="V78" s="46">
        <v>11</v>
      </c>
      <c r="W78" s="46">
        <v>1.05</v>
      </c>
      <c r="X78" s="46">
        <v>0</v>
      </c>
      <c r="Y78" s="46">
        <v>1</v>
      </c>
      <c r="Z78" s="46">
        <v>542</v>
      </c>
      <c r="AA78" s="46">
        <v>34.6</v>
      </c>
      <c r="AB78" s="46">
        <v>4.4999999999999998E-2</v>
      </c>
      <c r="AC78" s="46">
        <v>6.5000000000000002E-2</v>
      </c>
      <c r="AD78" s="46">
        <v>0.372</v>
      </c>
      <c r="AE78" s="46">
        <v>0</v>
      </c>
      <c r="AF78" s="46">
        <v>0.122</v>
      </c>
      <c r="AG78" s="46">
        <v>0</v>
      </c>
      <c r="AH78" s="46">
        <v>24.3</v>
      </c>
      <c r="AI78" s="46">
        <v>50.5</v>
      </c>
      <c r="AJ78" s="46">
        <v>47</v>
      </c>
      <c r="AK78" s="46">
        <v>47</v>
      </c>
      <c r="AL78" s="46">
        <v>0</v>
      </c>
      <c r="AM78" s="46">
        <v>0</v>
      </c>
      <c r="AN78" s="46">
        <v>0</v>
      </c>
      <c r="AO78" s="46">
        <v>0</v>
      </c>
      <c r="AP78" s="46">
        <v>0</v>
      </c>
      <c r="AQ78" s="46">
        <v>0</v>
      </c>
      <c r="AR78" s="46">
        <v>0</v>
      </c>
      <c r="AS78" s="46">
        <v>0</v>
      </c>
      <c r="AT78" s="46">
        <v>0</v>
      </c>
      <c r="AU78" s="46">
        <v>0</v>
      </c>
      <c r="AV78" s="46">
        <v>0</v>
      </c>
      <c r="AW78" s="46">
        <v>0</v>
      </c>
      <c r="AX78" s="46">
        <v>0</v>
      </c>
      <c r="AY78" s="46">
        <v>0</v>
      </c>
      <c r="AZ78" s="46">
        <v>0</v>
      </c>
      <c r="BA78" s="46">
        <v>0</v>
      </c>
      <c r="BB78" s="46">
        <v>0</v>
      </c>
      <c r="BC78" s="46">
        <v>0</v>
      </c>
      <c r="BD78" s="46">
        <v>2</v>
      </c>
      <c r="BE78" s="46">
        <v>0.91500000000000004</v>
      </c>
    </row>
    <row r="79" spans="1:57" s="44" customFormat="1" ht="15" customHeight="1">
      <c r="A79" s="97">
        <v>169732</v>
      </c>
      <c r="B79" s="61" t="s">
        <v>98</v>
      </c>
      <c r="C79" s="50" t="s">
        <v>279</v>
      </c>
      <c r="D79" s="60" t="s">
        <v>221</v>
      </c>
      <c r="E79" s="97">
        <v>160</v>
      </c>
      <c r="F79" s="56">
        <v>4.54</v>
      </c>
      <c r="G79" s="63">
        <v>2.0699999999999998</v>
      </c>
      <c r="H79" s="57">
        <v>25.16</v>
      </c>
      <c r="I79" s="61">
        <v>0.5</v>
      </c>
      <c r="J79" s="56">
        <v>138</v>
      </c>
      <c r="K79" s="56">
        <v>0.4</v>
      </c>
      <c r="L79" s="56">
        <v>1.2</v>
      </c>
      <c r="M79" s="61">
        <v>1.47</v>
      </c>
      <c r="N79" s="63">
        <v>21</v>
      </c>
      <c r="O79" s="63">
        <v>76</v>
      </c>
      <c r="P79" s="63">
        <v>38</v>
      </c>
      <c r="Q79" s="63">
        <v>5</v>
      </c>
      <c r="R79" s="61">
        <v>0.65</v>
      </c>
      <c r="S79" s="56">
        <v>9.8000000000000004E-2</v>
      </c>
      <c r="T79" s="63">
        <v>0.315</v>
      </c>
      <c r="U79" s="63">
        <v>23.9</v>
      </c>
      <c r="V79" s="63">
        <v>0</v>
      </c>
      <c r="W79" s="61">
        <v>0.17</v>
      </c>
      <c r="X79" s="61">
        <v>4</v>
      </c>
      <c r="Y79" s="57">
        <v>0</v>
      </c>
      <c r="Z79" s="63">
        <v>38</v>
      </c>
      <c r="AA79" s="63">
        <v>0</v>
      </c>
      <c r="AB79" s="63">
        <v>0.28899999999999998</v>
      </c>
      <c r="AC79" s="63">
        <v>0.13600000000000001</v>
      </c>
      <c r="AD79" s="56">
        <v>2.077</v>
      </c>
      <c r="AE79" s="56">
        <v>0.26300000000000001</v>
      </c>
      <c r="AF79" s="56">
        <v>4.5999999999999999E-2</v>
      </c>
      <c r="AG79" s="56">
        <v>0.09</v>
      </c>
      <c r="AH79" s="61">
        <v>25.7</v>
      </c>
      <c r="AI79" s="63">
        <v>0</v>
      </c>
      <c r="AJ79" s="63">
        <v>12</v>
      </c>
      <c r="AK79" s="61">
        <v>84</v>
      </c>
      <c r="AL79" s="61">
        <v>19.2</v>
      </c>
      <c r="AM79" s="56">
        <v>4.2999999999999997E-2</v>
      </c>
      <c r="AN79" s="56">
        <v>0.13800000000000001</v>
      </c>
      <c r="AO79" s="56">
        <v>0.19</v>
      </c>
      <c r="AP79" s="57">
        <v>0.36499999999999999</v>
      </c>
      <c r="AQ79" s="56">
        <v>0.13700000000000001</v>
      </c>
      <c r="AR79" s="56">
        <v>8.5999999999999993E-2</v>
      </c>
      <c r="AS79" s="63">
        <v>9.6000000000000002E-2</v>
      </c>
      <c r="AT79" s="56">
        <v>0.24</v>
      </c>
      <c r="AU79" s="56">
        <v>9.4E-2</v>
      </c>
      <c r="AV79" s="56">
        <v>0.22</v>
      </c>
      <c r="AW79" s="63">
        <v>0.192</v>
      </c>
      <c r="AX79" s="57">
        <v>0.16500000000000001</v>
      </c>
      <c r="AY79" s="57">
        <v>0.24399999999999999</v>
      </c>
      <c r="AZ79" s="61">
        <v>1.468</v>
      </c>
      <c r="BA79" s="63">
        <v>0.159</v>
      </c>
      <c r="BB79" s="56">
        <v>0.495</v>
      </c>
      <c r="BC79" s="56">
        <v>0.25700000000000001</v>
      </c>
      <c r="BD79" s="63">
        <v>29</v>
      </c>
      <c r="BE79" s="61">
        <v>0.58099999999999996</v>
      </c>
    </row>
    <row r="80" spans="1:57" s="44" customFormat="1" ht="15" customHeight="1">
      <c r="A80" s="97">
        <v>169732</v>
      </c>
      <c r="B80" s="61" t="s">
        <v>98</v>
      </c>
      <c r="C80" s="50" t="s">
        <v>279</v>
      </c>
      <c r="D80" s="60" t="s">
        <v>221</v>
      </c>
      <c r="E80" s="97">
        <v>160</v>
      </c>
      <c r="F80" s="56">
        <v>4.54</v>
      </c>
      <c r="G80" s="63">
        <v>2.0699999999999998</v>
      </c>
      <c r="H80" s="57">
        <v>25.16</v>
      </c>
      <c r="I80" s="61">
        <v>0.5</v>
      </c>
      <c r="J80" s="56">
        <v>138</v>
      </c>
      <c r="K80" s="56">
        <v>0.4</v>
      </c>
      <c r="L80" s="56">
        <v>1.2</v>
      </c>
      <c r="M80" s="61">
        <v>1.47</v>
      </c>
      <c r="N80" s="63">
        <v>21</v>
      </c>
      <c r="O80" s="63">
        <v>76</v>
      </c>
      <c r="P80" s="63">
        <v>38</v>
      </c>
      <c r="Q80" s="63">
        <v>5</v>
      </c>
      <c r="R80" s="61">
        <v>0.65</v>
      </c>
      <c r="S80" s="56">
        <v>9.8000000000000004E-2</v>
      </c>
      <c r="T80" s="63">
        <v>0.315</v>
      </c>
      <c r="U80" s="63">
        <v>23.9</v>
      </c>
      <c r="V80" s="63">
        <v>0</v>
      </c>
      <c r="W80" s="61">
        <v>0.17</v>
      </c>
      <c r="X80" s="61">
        <v>4</v>
      </c>
      <c r="Y80" s="57">
        <v>0</v>
      </c>
      <c r="Z80" s="63">
        <v>38</v>
      </c>
      <c r="AA80" s="63">
        <v>0</v>
      </c>
      <c r="AB80" s="63">
        <v>0.28899999999999998</v>
      </c>
      <c r="AC80" s="63">
        <v>0.13600000000000001</v>
      </c>
      <c r="AD80" s="56">
        <v>2.077</v>
      </c>
      <c r="AE80" s="56">
        <v>0.26300000000000001</v>
      </c>
      <c r="AF80" s="56">
        <v>4.5999999999999999E-2</v>
      </c>
      <c r="AG80" s="56">
        <v>0.09</v>
      </c>
      <c r="AH80" s="61">
        <v>25.7</v>
      </c>
      <c r="AI80" s="63">
        <v>0</v>
      </c>
      <c r="AJ80" s="63">
        <v>12</v>
      </c>
      <c r="AK80" s="61">
        <v>84</v>
      </c>
      <c r="AL80" s="61">
        <v>19.2</v>
      </c>
      <c r="AM80" s="56">
        <v>4.2999999999999997E-2</v>
      </c>
      <c r="AN80" s="56">
        <v>0.13800000000000001</v>
      </c>
      <c r="AO80" s="56">
        <v>0.19</v>
      </c>
      <c r="AP80" s="57">
        <v>0.36499999999999999</v>
      </c>
      <c r="AQ80" s="56">
        <v>0.13700000000000001</v>
      </c>
      <c r="AR80" s="56">
        <v>8.5999999999999993E-2</v>
      </c>
      <c r="AS80" s="63">
        <v>9.6000000000000002E-2</v>
      </c>
      <c r="AT80" s="56">
        <v>0.24</v>
      </c>
      <c r="AU80" s="56">
        <v>9.4E-2</v>
      </c>
      <c r="AV80" s="56">
        <v>0.22</v>
      </c>
      <c r="AW80" s="63">
        <v>0.192</v>
      </c>
      <c r="AX80" s="57">
        <v>0.16500000000000001</v>
      </c>
      <c r="AY80" s="57">
        <v>0.24399999999999999</v>
      </c>
      <c r="AZ80" s="61">
        <v>1.468</v>
      </c>
      <c r="BA80" s="63">
        <v>0.159</v>
      </c>
      <c r="BB80" s="56">
        <v>0.495</v>
      </c>
      <c r="BC80" s="56">
        <v>0.25700000000000001</v>
      </c>
      <c r="BD80" s="63">
        <v>29</v>
      </c>
      <c r="BE80" s="61">
        <v>0.58099999999999996</v>
      </c>
    </row>
    <row r="81" spans="1:58" s="44" customFormat="1" ht="15" customHeight="1">
      <c r="A81" s="98">
        <v>2341125</v>
      </c>
      <c r="B81" s="44" t="s">
        <v>292</v>
      </c>
      <c r="C81" s="50" t="s">
        <v>111</v>
      </c>
      <c r="D81" s="50"/>
      <c r="E81" s="98">
        <v>15</v>
      </c>
      <c r="F81" s="62">
        <v>10.36</v>
      </c>
      <c r="G81" s="46">
        <v>17.100000000000001</v>
      </c>
      <c r="H81" s="46">
        <v>36.86</v>
      </c>
      <c r="I81" s="62">
        <v>0</v>
      </c>
      <c r="J81" s="62">
        <v>343</v>
      </c>
      <c r="K81" s="62">
        <v>3.44</v>
      </c>
      <c r="L81" s="88">
        <v>2.2000000000000002</v>
      </c>
      <c r="M81" s="46">
        <v>2.68</v>
      </c>
      <c r="N81" s="46">
        <v>24</v>
      </c>
      <c r="O81" s="46">
        <v>145</v>
      </c>
      <c r="P81" s="46">
        <v>105</v>
      </c>
      <c r="Q81" s="46">
        <v>564</v>
      </c>
      <c r="R81" s="62">
        <v>1.23</v>
      </c>
      <c r="S81" s="62">
        <v>0.09</v>
      </c>
      <c r="T81" s="46">
        <v>0</v>
      </c>
      <c r="U81" s="46">
        <v>17.899999999999999</v>
      </c>
      <c r="V81" s="46">
        <v>38</v>
      </c>
      <c r="W81" s="62">
        <v>1.0900000000000001</v>
      </c>
      <c r="X81" s="62">
        <v>0</v>
      </c>
      <c r="Y81" s="46">
        <v>0</v>
      </c>
      <c r="Z81" s="46">
        <v>22</v>
      </c>
      <c r="AA81" s="46">
        <v>0.2</v>
      </c>
      <c r="AB81" s="46">
        <v>0.38500000000000001</v>
      </c>
      <c r="AC81" s="62">
        <v>0.20699999999999999</v>
      </c>
      <c r="AD81" s="46">
        <v>3.6150000000000002</v>
      </c>
      <c r="AE81" s="62">
        <v>0</v>
      </c>
      <c r="AF81" s="62">
        <v>0.08</v>
      </c>
      <c r="AG81" s="46">
        <v>0.27</v>
      </c>
      <c r="AH81" s="46">
        <v>9.1</v>
      </c>
      <c r="AI81" s="46">
        <v>39</v>
      </c>
      <c r="AJ81" s="46">
        <v>110</v>
      </c>
      <c r="AK81" s="88">
        <v>176</v>
      </c>
      <c r="AL81" s="46">
        <v>0</v>
      </c>
      <c r="AM81" s="80">
        <v>0</v>
      </c>
      <c r="AN81" s="46">
        <v>0</v>
      </c>
      <c r="AO81" s="46">
        <v>0</v>
      </c>
      <c r="AP81" s="46">
        <v>0</v>
      </c>
      <c r="AQ81" s="46">
        <v>0</v>
      </c>
      <c r="AR81" s="46">
        <v>0</v>
      </c>
      <c r="AS81" s="46">
        <v>0</v>
      </c>
      <c r="AT81" s="46">
        <v>0</v>
      </c>
      <c r="AU81" s="46">
        <v>0</v>
      </c>
      <c r="AV81" s="46">
        <v>0</v>
      </c>
      <c r="AW81" s="46">
        <v>0</v>
      </c>
      <c r="AX81" s="46">
        <v>0</v>
      </c>
      <c r="AY81" s="46">
        <v>0</v>
      </c>
      <c r="AZ81" s="46">
        <v>0</v>
      </c>
      <c r="BA81" s="46">
        <v>0</v>
      </c>
      <c r="BB81" s="46">
        <v>0</v>
      </c>
      <c r="BC81" s="46">
        <v>0</v>
      </c>
      <c r="BD81" s="46">
        <v>8</v>
      </c>
      <c r="BE81" s="46">
        <v>4.67</v>
      </c>
    </row>
    <row r="82" spans="1:58" s="44" customFormat="1" ht="15" customHeight="1">
      <c r="A82" s="98">
        <v>2341125</v>
      </c>
      <c r="B82" s="44" t="s">
        <v>292</v>
      </c>
      <c r="C82" s="50" t="s">
        <v>111</v>
      </c>
      <c r="D82" s="50"/>
      <c r="E82" s="98">
        <v>15</v>
      </c>
      <c r="F82" s="62">
        <v>10.36</v>
      </c>
      <c r="G82" s="46">
        <v>17.100000000000001</v>
      </c>
      <c r="H82" s="46">
        <v>36.86</v>
      </c>
      <c r="I82" s="62">
        <v>0</v>
      </c>
      <c r="J82" s="62">
        <v>343</v>
      </c>
      <c r="K82" s="62">
        <v>3.44</v>
      </c>
      <c r="L82" s="88">
        <v>2.2000000000000002</v>
      </c>
      <c r="M82" s="46">
        <v>2.68</v>
      </c>
      <c r="N82" s="46">
        <v>24</v>
      </c>
      <c r="O82" s="46">
        <v>145</v>
      </c>
      <c r="P82" s="46">
        <v>105</v>
      </c>
      <c r="Q82" s="46">
        <v>564</v>
      </c>
      <c r="R82" s="62">
        <v>1.23</v>
      </c>
      <c r="S82" s="62">
        <v>0.09</v>
      </c>
      <c r="T82" s="46">
        <v>0</v>
      </c>
      <c r="U82" s="46">
        <v>17.899999999999999</v>
      </c>
      <c r="V82" s="46">
        <v>38</v>
      </c>
      <c r="W82" s="62">
        <v>1.0900000000000001</v>
      </c>
      <c r="X82" s="62">
        <v>0</v>
      </c>
      <c r="Y82" s="46">
        <v>0</v>
      </c>
      <c r="Z82" s="46">
        <v>22</v>
      </c>
      <c r="AA82" s="46">
        <v>0.2</v>
      </c>
      <c r="AB82" s="46">
        <v>0.38500000000000001</v>
      </c>
      <c r="AC82" s="62">
        <v>0.20699999999999999</v>
      </c>
      <c r="AD82" s="46">
        <v>3.6150000000000002</v>
      </c>
      <c r="AE82" s="62">
        <v>0</v>
      </c>
      <c r="AF82" s="62">
        <v>0.08</v>
      </c>
      <c r="AG82" s="46">
        <v>0.27</v>
      </c>
      <c r="AH82" s="46">
        <v>9.1</v>
      </c>
      <c r="AI82" s="46">
        <v>39</v>
      </c>
      <c r="AJ82" s="46">
        <v>110</v>
      </c>
      <c r="AK82" s="88">
        <v>176</v>
      </c>
      <c r="AL82" s="46">
        <v>0</v>
      </c>
      <c r="AM82" s="80">
        <v>0</v>
      </c>
      <c r="AN82" s="46">
        <v>0</v>
      </c>
      <c r="AO82" s="46">
        <v>0</v>
      </c>
      <c r="AP82" s="46">
        <v>0</v>
      </c>
      <c r="AQ82" s="46">
        <v>0</v>
      </c>
      <c r="AR82" s="46">
        <v>0</v>
      </c>
      <c r="AS82" s="46">
        <v>0</v>
      </c>
      <c r="AT82" s="46">
        <v>0</v>
      </c>
      <c r="AU82" s="46">
        <v>0</v>
      </c>
      <c r="AV82" s="46">
        <v>0</v>
      </c>
      <c r="AW82" s="46">
        <v>0</v>
      </c>
      <c r="AX82" s="46">
        <v>0</v>
      </c>
      <c r="AY82" s="46">
        <v>0</v>
      </c>
      <c r="AZ82" s="46">
        <v>0</v>
      </c>
      <c r="BA82" s="46">
        <v>0</v>
      </c>
      <c r="BB82" s="46">
        <v>0</v>
      </c>
      <c r="BC82" s="46">
        <v>0</v>
      </c>
      <c r="BD82" s="46">
        <v>8</v>
      </c>
      <c r="BE82" s="46">
        <v>4.67</v>
      </c>
    </row>
    <row r="83" spans="1:58" s="44" customFormat="1" ht="15" customHeight="1">
      <c r="A83" s="98">
        <v>2341125</v>
      </c>
      <c r="B83" s="44" t="s">
        <v>292</v>
      </c>
      <c r="C83" s="50" t="s">
        <v>111</v>
      </c>
      <c r="D83" s="50"/>
      <c r="E83" s="98">
        <v>15</v>
      </c>
      <c r="F83" s="62">
        <v>10.36</v>
      </c>
      <c r="G83" s="46">
        <v>17.100000000000001</v>
      </c>
      <c r="H83" s="46">
        <v>36.86</v>
      </c>
      <c r="I83" s="62">
        <v>0</v>
      </c>
      <c r="J83" s="62">
        <v>343</v>
      </c>
      <c r="K83" s="62">
        <v>3.44</v>
      </c>
      <c r="L83" s="88">
        <v>2.2000000000000002</v>
      </c>
      <c r="M83" s="46">
        <v>2.68</v>
      </c>
      <c r="N83" s="46">
        <v>24</v>
      </c>
      <c r="O83" s="46">
        <v>145</v>
      </c>
      <c r="P83" s="46">
        <v>105</v>
      </c>
      <c r="Q83" s="46">
        <v>564</v>
      </c>
      <c r="R83" s="62">
        <v>1.23</v>
      </c>
      <c r="S83" s="62">
        <v>0.09</v>
      </c>
      <c r="T83" s="46">
        <v>0</v>
      </c>
      <c r="U83" s="46">
        <v>17.899999999999999</v>
      </c>
      <c r="V83" s="46">
        <v>38</v>
      </c>
      <c r="W83" s="62">
        <v>1.0900000000000001</v>
      </c>
      <c r="X83" s="62">
        <v>0</v>
      </c>
      <c r="Y83" s="46">
        <v>0</v>
      </c>
      <c r="Z83" s="46">
        <v>22</v>
      </c>
      <c r="AA83" s="46">
        <v>0.2</v>
      </c>
      <c r="AB83" s="46">
        <v>0.38500000000000001</v>
      </c>
      <c r="AC83" s="62">
        <v>0.20699999999999999</v>
      </c>
      <c r="AD83" s="46">
        <v>3.6150000000000002</v>
      </c>
      <c r="AE83" s="62">
        <v>0</v>
      </c>
      <c r="AF83" s="62">
        <v>0.08</v>
      </c>
      <c r="AG83" s="46">
        <v>0.27</v>
      </c>
      <c r="AH83" s="46">
        <v>9.1</v>
      </c>
      <c r="AI83" s="46">
        <v>39</v>
      </c>
      <c r="AJ83" s="46">
        <v>110</v>
      </c>
      <c r="AK83" s="88">
        <v>176</v>
      </c>
      <c r="AL83" s="46">
        <v>0</v>
      </c>
      <c r="AM83" s="80">
        <v>0</v>
      </c>
      <c r="AN83" s="46">
        <v>0</v>
      </c>
      <c r="AO83" s="46">
        <v>0</v>
      </c>
      <c r="AP83" s="46">
        <v>0</v>
      </c>
      <c r="AQ83" s="46">
        <v>0</v>
      </c>
      <c r="AR83" s="46">
        <v>0</v>
      </c>
      <c r="AS83" s="46">
        <v>0</v>
      </c>
      <c r="AT83" s="46">
        <v>0</v>
      </c>
      <c r="AU83" s="46">
        <v>0</v>
      </c>
      <c r="AV83" s="46">
        <v>0</v>
      </c>
      <c r="AW83" s="46">
        <v>0</v>
      </c>
      <c r="AX83" s="46">
        <v>0</v>
      </c>
      <c r="AY83" s="46">
        <v>0</v>
      </c>
      <c r="AZ83" s="46">
        <v>0</v>
      </c>
      <c r="BA83" s="46">
        <v>0</v>
      </c>
      <c r="BB83" s="46">
        <v>0</v>
      </c>
      <c r="BC83" s="46">
        <v>0</v>
      </c>
      <c r="BD83" s="46">
        <v>8</v>
      </c>
      <c r="BE83" s="46">
        <v>4.67</v>
      </c>
    </row>
    <row r="84" spans="1:58" s="44" customFormat="1" ht="15" customHeight="1">
      <c r="A84" s="98">
        <v>2341125</v>
      </c>
      <c r="B84" s="44" t="s">
        <v>292</v>
      </c>
      <c r="C84" s="50" t="s">
        <v>111</v>
      </c>
      <c r="D84" s="50"/>
      <c r="E84" s="98">
        <v>15</v>
      </c>
      <c r="F84" s="62">
        <v>10.36</v>
      </c>
      <c r="G84" s="46">
        <v>17.100000000000001</v>
      </c>
      <c r="H84" s="46">
        <v>36.86</v>
      </c>
      <c r="I84" s="62">
        <v>0</v>
      </c>
      <c r="J84" s="62">
        <v>343</v>
      </c>
      <c r="K84" s="62">
        <v>3.44</v>
      </c>
      <c r="L84" s="88">
        <v>2.2000000000000002</v>
      </c>
      <c r="M84" s="46">
        <v>2.68</v>
      </c>
      <c r="N84" s="46">
        <v>24</v>
      </c>
      <c r="O84" s="46">
        <v>145</v>
      </c>
      <c r="P84" s="46">
        <v>105</v>
      </c>
      <c r="Q84" s="46">
        <v>564</v>
      </c>
      <c r="R84" s="62">
        <v>1.23</v>
      </c>
      <c r="S84" s="62">
        <v>0.09</v>
      </c>
      <c r="T84" s="46">
        <v>0</v>
      </c>
      <c r="U84" s="46">
        <v>17.899999999999999</v>
      </c>
      <c r="V84" s="46">
        <v>38</v>
      </c>
      <c r="W84" s="62">
        <v>1.0900000000000001</v>
      </c>
      <c r="X84" s="62">
        <v>0</v>
      </c>
      <c r="Y84" s="46">
        <v>0</v>
      </c>
      <c r="Z84" s="46">
        <v>22</v>
      </c>
      <c r="AA84" s="46">
        <v>0.2</v>
      </c>
      <c r="AB84" s="46">
        <v>0.38500000000000001</v>
      </c>
      <c r="AC84" s="62">
        <v>0.20699999999999999</v>
      </c>
      <c r="AD84" s="46">
        <v>3.6150000000000002</v>
      </c>
      <c r="AE84" s="62">
        <v>0</v>
      </c>
      <c r="AF84" s="62">
        <v>0.08</v>
      </c>
      <c r="AG84" s="46">
        <v>0.27</v>
      </c>
      <c r="AH84" s="46">
        <v>9.1</v>
      </c>
      <c r="AI84" s="46">
        <v>39</v>
      </c>
      <c r="AJ84" s="46">
        <v>110</v>
      </c>
      <c r="AK84" s="88">
        <v>176</v>
      </c>
      <c r="AL84" s="46">
        <v>0</v>
      </c>
      <c r="AM84" s="80">
        <v>0</v>
      </c>
      <c r="AN84" s="46">
        <v>0</v>
      </c>
      <c r="AO84" s="46">
        <v>0</v>
      </c>
      <c r="AP84" s="46">
        <v>0</v>
      </c>
      <c r="AQ84" s="46">
        <v>0</v>
      </c>
      <c r="AR84" s="46">
        <v>0</v>
      </c>
      <c r="AS84" s="46">
        <v>0</v>
      </c>
      <c r="AT84" s="46">
        <v>0</v>
      </c>
      <c r="AU84" s="46">
        <v>0</v>
      </c>
      <c r="AV84" s="46">
        <v>0</v>
      </c>
      <c r="AW84" s="46">
        <v>0</v>
      </c>
      <c r="AX84" s="46">
        <v>0</v>
      </c>
      <c r="AY84" s="46">
        <v>0</v>
      </c>
      <c r="AZ84" s="46">
        <v>0</v>
      </c>
      <c r="BA84" s="46">
        <v>0</v>
      </c>
      <c r="BB84" s="46">
        <v>0</v>
      </c>
      <c r="BC84" s="46">
        <v>0</v>
      </c>
      <c r="BD84" s="46">
        <v>8</v>
      </c>
      <c r="BE84" s="46">
        <v>4.67</v>
      </c>
    </row>
    <row r="85" spans="1:58" s="44" customFormat="1" ht="15" customHeight="1">
      <c r="A85" s="98">
        <v>2341125</v>
      </c>
      <c r="B85" s="44" t="s">
        <v>292</v>
      </c>
      <c r="C85" s="50" t="s">
        <v>111</v>
      </c>
      <c r="D85" s="50"/>
      <c r="E85" s="98">
        <v>15</v>
      </c>
      <c r="F85" s="62">
        <v>10.36</v>
      </c>
      <c r="G85" s="46">
        <v>17.100000000000001</v>
      </c>
      <c r="H85" s="46">
        <v>36.86</v>
      </c>
      <c r="I85" s="62">
        <v>0</v>
      </c>
      <c r="J85" s="62">
        <v>343</v>
      </c>
      <c r="K85" s="62">
        <v>3.44</v>
      </c>
      <c r="L85" s="88">
        <v>2.2000000000000002</v>
      </c>
      <c r="M85" s="46">
        <v>2.68</v>
      </c>
      <c r="N85" s="46">
        <v>24</v>
      </c>
      <c r="O85" s="46">
        <v>145</v>
      </c>
      <c r="P85" s="46">
        <v>105</v>
      </c>
      <c r="Q85" s="46">
        <v>564</v>
      </c>
      <c r="R85" s="62">
        <v>1.23</v>
      </c>
      <c r="S85" s="62">
        <v>0.09</v>
      </c>
      <c r="T85" s="46">
        <v>0</v>
      </c>
      <c r="U85" s="46">
        <v>17.899999999999999</v>
      </c>
      <c r="V85" s="46">
        <v>38</v>
      </c>
      <c r="W85" s="62">
        <v>1.0900000000000001</v>
      </c>
      <c r="X85" s="62">
        <v>0</v>
      </c>
      <c r="Y85" s="46">
        <v>0</v>
      </c>
      <c r="Z85" s="46">
        <v>22</v>
      </c>
      <c r="AA85" s="46">
        <v>0.2</v>
      </c>
      <c r="AB85" s="46">
        <v>0.38500000000000001</v>
      </c>
      <c r="AC85" s="62">
        <v>0.20699999999999999</v>
      </c>
      <c r="AD85" s="46">
        <v>3.6150000000000002</v>
      </c>
      <c r="AE85" s="62">
        <v>0</v>
      </c>
      <c r="AF85" s="62">
        <v>0.08</v>
      </c>
      <c r="AG85" s="46">
        <v>0.27</v>
      </c>
      <c r="AH85" s="46">
        <v>9.1</v>
      </c>
      <c r="AI85" s="46">
        <v>39</v>
      </c>
      <c r="AJ85" s="46">
        <v>110</v>
      </c>
      <c r="AK85" s="88">
        <v>176</v>
      </c>
      <c r="AL85" s="46">
        <v>0</v>
      </c>
      <c r="AM85" s="80">
        <v>0</v>
      </c>
      <c r="AN85" s="46">
        <v>0</v>
      </c>
      <c r="AO85" s="46">
        <v>0</v>
      </c>
      <c r="AP85" s="46">
        <v>0</v>
      </c>
      <c r="AQ85" s="46">
        <v>0</v>
      </c>
      <c r="AR85" s="46">
        <v>0</v>
      </c>
      <c r="AS85" s="46">
        <v>0</v>
      </c>
      <c r="AT85" s="46">
        <v>0</v>
      </c>
      <c r="AU85" s="46">
        <v>0</v>
      </c>
      <c r="AV85" s="46">
        <v>0</v>
      </c>
      <c r="AW85" s="46">
        <v>0</v>
      </c>
      <c r="AX85" s="46">
        <v>0</v>
      </c>
      <c r="AY85" s="46">
        <v>0</v>
      </c>
      <c r="AZ85" s="46">
        <v>0</v>
      </c>
      <c r="BA85" s="46">
        <v>0</v>
      </c>
      <c r="BB85" s="46">
        <v>0</v>
      </c>
      <c r="BC85" s="46">
        <v>0</v>
      </c>
      <c r="BD85" s="46">
        <v>8</v>
      </c>
      <c r="BE85" s="46">
        <v>4.67</v>
      </c>
    </row>
    <row r="86" spans="1:58" s="44" customFormat="1" ht="15" customHeight="1">
      <c r="A86" s="98">
        <v>2341125</v>
      </c>
      <c r="B86" s="44" t="s">
        <v>292</v>
      </c>
      <c r="C86" s="50" t="s">
        <v>111</v>
      </c>
      <c r="D86" s="50"/>
      <c r="E86" s="98">
        <v>15</v>
      </c>
      <c r="F86" s="62">
        <v>10.36</v>
      </c>
      <c r="G86" s="46">
        <v>17.100000000000001</v>
      </c>
      <c r="H86" s="46">
        <v>36.86</v>
      </c>
      <c r="I86" s="62">
        <v>0</v>
      </c>
      <c r="J86" s="62">
        <v>343</v>
      </c>
      <c r="K86" s="62">
        <v>3.44</v>
      </c>
      <c r="L86" s="88">
        <v>2.2000000000000002</v>
      </c>
      <c r="M86" s="46">
        <v>2.68</v>
      </c>
      <c r="N86" s="46">
        <v>24</v>
      </c>
      <c r="O86" s="46">
        <v>145</v>
      </c>
      <c r="P86" s="46">
        <v>105</v>
      </c>
      <c r="Q86" s="46">
        <v>564</v>
      </c>
      <c r="R86" s="62">
        <v>1.23</v>
      </c>
      <c r="S86" s="62">
        <v>0.09</v>
      </c>
      <c r="T86" s="46">
        <v>0</v>
      </c>
      <c r="U86" s="46">
        <v>17.899999999999999</v>
      </c>
      <c r="V86" s="46">
        <v>38</v>
      </c>
      <c r="W86" s="62">
        <v>1.0900000000000001</v>
      </c>
      <c r="X86" s="62">
        <v>0</v>
      </c>
      <c r="Y86" s="46">
        <v>0</v>
      </c>
      <c r="Z86" s="46">
        <v>22</v>
      </c>
      <c r="AA86" s="46">
        <v>0.2</v>
      </c>
      <c r="AB86" s="46">
        <v>0.38500000000000001</v>
      </c>
      <c r="AC86" s="62">
        <v>0.20699999999999999</v>
      </c>
      <c r="AD86" s="46">
        <v>3.6150000000000002</v>
      </c>
      <c r="AE86" s="62">
        <v>0</v>
      </c>
      <c r="AF86" s="62">
        <v>0.08</v>
      </c>
      <c r="AG86" s="46">
        <v>0.27</v>
      </c>
      <c r="AH86" s="46">
        <v>9.1</v>
      </c>
      <c r="AI86" s="46">
        <v>39</v>
      </c>
      <c r="AJ86" s="46">
        <v>110</v>
      </c>
      <c r="AK86" s="88">
        <v>176</v>
      </c>
      <c r="AL86" s="46">
        <v>0</v>
      </c>
      <c r="AM86" s="80">
        <v>0</v>
      </c>
      <c r="AN86" s="46">
        <v>0</v>
      </c>
      <c r="AO86" s="46">
        <v>0</v>
      </c>
      <c r="AP86" s="46">
        <v>0</v>
      </c>
      <c r="AQ86" s="46">
        <v>0</v>
      </c>
      <c r="AR86" s="46">
        <v>0</v>
      </c>
      <c r="AS86" s="46">
        <v>0</v>
      </c>
      <c r="AT86" s="46">
        <v>0</v>
      </c>
      <c r="AU86" s="46">
        <v>0</v>
      </c>
      <c r="AV86" s="46">
        <v>0</v>
      </c>
      <c r="AW86" s="46">
        <v>0</v>
      </c>
      <c r="AX86" s="46">
        <v>0</v>
      </c>
      <c r="AY86" s="46">
        <v>0</v>
      </c>
      <c r="AZ86" s="46">
        <v>0</v>
      </c>
      <c r="BA86" s="46">
        <v>0</v>
      </c>
      <c r="BB86" s="46">
        <v>0</v>
      </c>
      <c r="BC86" s="46">
        <v>0</v>
      </c>
      <c r="BD86" s="46">
        <v>8</v>
      </c>
      <c r="BE86" s="46">
        <v>4.67</v>
      </c>
    </row>
    <row r="87" spans="1:58" s="44" customFormat="1" ht="15" customHeight="1">
      <c r="A87" s="98">
        <v>2341125</v>
      </c>
      <c r="B87" s="44" t="s">
        <v>292</v>
      </c>
      <c r="C87" s="50" t="s">
        <v>111</v>
      </c>
      <c r="D87" s="50"/>
      <c r="E87" s="98">
        <v>15</v>
      </c>
      <c r="F87" s="62">
        <v>10.36</v>
      </c>
      <c r="G87" s="46">
        <v>17.100000000000001</v>
      </c>
      <c r="H87" s="46">
        <v>36.86</v>
      </c>
      <c r="I87" s="62">
        <v>0</v>
      </c>
      <c r="J87" s="62">
        <v>343</v>
      </c>
      <c r="K87" s="62">
        <v>3.44</v>
      </c>
      <c r="L87" s="88">
        <v>2.2000000000000002</v>
      </c>
      <c r="M87" s="46">
        <v>2.68</v>
      </c>
      <c r="N87" s="46">
        <v>24</v>
      </c>
      <c r="O87" s="46">
        <v>145</v>
      </c>
      <c r="P87" s="46">
        <v>105</v>
      </c>
      <c r="Q87" s="46">
        <v>564</v>
      </c>
      <c r="R87" s="62">
        <v>1.23</v>
      </c>
      <c r="S87" s="62">
        <v>0.09</v>
      </c>
      <c r="T87" s="46">
        <v>0</v>
      </c>
      <c r="U87" s="46">
        <v>17.899999999999999</v>
      </c>
      <c r="V87" s="46">
        <v>38</v>
      </c>
      <c r="W87" s="62">
        <v>1.0900000000000001</v>
      </c>
      <c r="X87" s="62">
        <v>0</v>
      </c>
      <c r="Y87" s="46">
        <v>0</v>
      </c>
      <c r="Z87" s="46">
        <v>22</v>
      </c>
      <c r="AA87" s="46">
        <v>0.2</v>
      </c>
      <c r="AB87" s="46">
        <v>0.38500000000000001</v>
      </c>
      <c r="AC87" s="62">
        <v>0.20699999999999999</v>
      </c>
      <c r="AD87" s="46">
        <v>3.6150000000000002</v>
      </c>
      <c r="AE87" s="62">
        <v>0</v>
      </c>
      <c r="AF87" s="62">
        <v>0.08</v>
      </c>
      <c r="AG87" s="46">
        <v>0.27</v>
      </c>
      <c r="AH87" s="46">
        <v>9.1</v>
      </c>
      <c r="AI87" s="46">
        <v>39</v>
      </c>
      <c r="AJ87" s="46">
        <v>110</v>
      </c>
      <c r="AK87" s="88">
        <v>176</v>
      </c>
      <c r="AL87" s="46">
        <v>0</v>
      </c>
      <c r="AM87" s="80">
        <v>0</v>
      </c>
      <c r="AN87" s="46">
        <v>0</v>
      </c>
      <c r="AO87" s="46">
        <v>0</v>
      </c>
      <c r="AP87" s="46">
        <v>0</v>
      </c>
      <c r="AQ87" s="46">
        <v>0</v>
      </c>
      <c r="AR87" s="46">
        <v>0</v>
      </c>
      <c r="AS87" s="46">
        <v>0</v>
      </c>
      <c r="AT87" s="46">
        <v>0</v>
      </c>
      <c r="AU87" s="46">
        <v>0</v>
      </c>
      <c r="AV87" s="46">
        <v>0</v>
      </c>
      <c r="AW87" s="46">
        <v>0</v>
      </c>
      <c r="AX87" s="46">
        <v>0</v>
      </c>
      <c r="AY87" s="46">
        <v>0</v>
      </c>
      <c r="AZ87" s="46">
        <v>0</v>
      </c>
      <c r="BA87" s="46">
        <v>0</v>
      </c>
      <c r="BB87" s="46">
        <v>0</v>
      </c>
      <c r="BC87" s="46">
        <v>0</v>
      </c>
      <c r="BD87" s="46">
        <v>8</v>
      </c>
      <c r="BE87" s="46">
        <v>4.67</v>
      </c>
    </row>
    <row r="88" spans="1:58" s="44" customFormat="1" ht="15" customHeight="1">
      <c r="A88" s="98">
        <v>2341125</v>
      </c>
      <c r="B88" s="44" t="s">
        <v>292</v>
      </c>
      <c r="C88" s="50" t="s">
        <v>111</v>
      </c>
      <c r="D88" s="50"/>
      <c r="E88" s="98">
        <v>15</v>
      </c>
      <c r="F88" s="62">
        <v>10.36</v>
      </c>
      <c r="G88" s="46">
        <v>17.100000000000001</v>
      </c>
      <c r="H88" s="46">
        <v>36.86</v>
      </c>
      <c r="I88" s="62">
        <v>0</v>
      </c>
      <c r="J88" s="62">
        <v>343</v>
      </c>
      <c r="K88" s="62">
        <v>3.44</v>
      </c>
      <c r="L88" s="88">
        <v>2.2000000000000002</v>
      </c>
      <c r="M88" s="46">
        <v>2.68</v>
      </c>
      <c r="N88" s="46">
        <v>24</v>
      </c>
      <c r="O88" s="46">
        <v>145</v>
      </c>
      <c r="P88" s="46">
        <v>105</v>
      </c>
      <c r="Q88" s="46">
        <v>564</v>
      </c>
      <c r="R88" s="62">
        <v>1.23</v>
      </c>
      <c r="S88" s="62">
        <v>0.09</v>
      </c>
      <c r="T88" s="46">
        <v>0</v>
      </c>
      <c r="U88" s="46">
        <v>17.899999999999999</v>
      </c>
      <c r="V88" s="46">
        <v>38</v>
      </c>
      <c r="W88" s="62">
        <v>1.0900000000000001</v>
      </c>
      <c r="X88" s="62">
        <v>0</v>
      </c>
      <c r="Y88" s="46">
        <v>0</v>
      </c>
      <c r="Z88" s="46">
        <v>22</v>
      </c>
      <c r="AA88" s="46">
        <v>0.2</v>
      </c>
      <c r="AB88" s="46">
        <v>0.38500000000000001</v>
      </c>
      <c r="AC88" s="62">
        <v>0.20699999999999999</v>
      </c>
      <c r="AD88" s="46">
        <v>3.6150000000000002</v>
      </c>
      <c r="AE88" s="62">
        <v>0</v>
      </c>
      <c r="AF88" s="62">
        <v>0.08</v>
      </c>
      <c r="AG88" s="46">
        <v>0.27</v>
      </c>
      <c r="AH88" s="46">
        <v>9.1</v>
      </c>
      <c r="AI88" s="46">
        <v>39</v>
      </c>
      <c r="AJ88" s="46">
        <v>110</v>
      </c>
      <c r="AK88" s="88">
        <v>176</v>
      </c>
      <c r="AL88" s="46">
        <v>0</v>
      </c>
      <c r="AM88" s="80">
        <v>0</v>
      </c>
      <c r="AN88" s="46">
        <v>0</v>
      </c>
      <c r="AO88" s="46">
        <v>0</v>
      </c>
      <c r="AP88" s="46">
        <v>0</v>
      </c>
      <c r="AQ88" s="46">
        <v>0</v>
      </c>
      <c r="AR88" s="46">
        <v>0</v>
      </c>
      <c r="AS88" s="46">
        <v>0</v>
      </c>
      <c r="AT88" s="46">
        <v>0</v>
      </c>
      <c r="AU88" s="46">
        <v>0</v>
      </c>
      <c r="AV88" s="46">
        <v>0</v>
      </c>
      <c r="AW88" s="46">
        <v>0</v>
      </c>
      <c r="AX88" s="46">
        <v>0</v>
      </c>
      <c r="AY88" s="46">
        <v>0</v>
      </c>
      <c r="AZ88" s="46">
        <v>0</v>
      </c>
      <c r="BA88" s="46">
        <v>0</v>
      </c>
      <c r="BB88" s="46">
        <v>0</v>
      </c>
      <c r="BC88" s="46">
        <v>0</v>
      </c>
      <c r="BD88" s="46">
        <v>8</v>
      </c>
      <c r="BE88" s="46">
        <v>4.67</v>
      </c>
    </row>
    <row r="89" spans="1:58" s="44" customFormat="1" ht="15" customHeight="1">
      <c r="A89" s="97">
        <v>325036</v>
      </c>
      <c r="B89" s="57" t="s">
        <v>291</v>
      </c>
      <c r="C89" s="60" t="s">
        <v>111</v>
      </c>
      <c r="D89" s="60" t="s">
        <v>221</v>
      </c>
      <c r="E89" s="97">
        <v>250</v>
      </c>
      <c r="F89" s="56">
        <v>8.74</v>
      </c>
      <c r="G89" s="63">
        <v>6.25</v>
      </c>
      <c r="H89" s="56">
        <v>14.46</v>
      </c>
      <c r="I89" s="56">
        <v>0</v>
      </c>
      <c r="J89" s="63">
        <v>148</v>
      </c>
      <c r="K89" s="56">
        <v>1.73</v>
      </c>
      <c r="L89" s="70">
        <v>1</v>
      </c>
      <c r="M89" s="63">
        <v>2.1</v>
      </c>
      <c r="N89" s="56">
        <v>16</v>
      </c>
      <c r="O89" s="63">
        <v>91</v>
      </c>
      <c r="P89" s="56">
        <v>217</v>
      </c>
      <c r="Q89" s="63">
        <v>593</v>
      </c>
      <c r="R89" s="63">
        <v>1.6</v>
      </c>
      <c r="S89" s="63">
        <v>0.11700000000000001</v>
      </c>
      <c r="T89" s="63">
        <v>0</v>
      </c>
      <c r="U89" s="56">
        <v>10.6</v>
      </c>
      <c r="V89" s="56">
        <v>35</v>
      </c>
      <c r="W89" s="63">
        <v>0.82</v>
      </c>
      <c r="X89" s="63">
        <v>0</v>
      </c>
      <c r="Y89" s="63">
        <v>2</v>
      </c>
      <c r="Z89" s="63">
        <v>61</v>
      </c>
      <c r="AA89" s="63">
        <v>2.8</v>
      </c>
      <c r="AB89" s="56">
        <v>0.13400000000000001</v>
      </c>
      <c r="AC89" s="56">
        <v>0.16300000000000001</v>
      </c>
      <c r="AD89" s="56">
        <v>2.258</v>
      </c>
      <c r="AE89" s="63">
        <v>0</v>
      </c>
      <c r="AF89" s="63">
        <v>0.12</v>
      </c>
      <c r="AG89" s="56">
        <v>0.61</v>
      </c>
      <c r="AH89" s="63">
        <v>51.2</v>
      </c>
      <c r="AI89" s="56">
        <v>3.5</v>
      </c>
      <c r="AJ89" s="63">
        <v>13</v>
      </c>
      <c r="AK89" s="70">
        <v>37</v>
      </c>
      <c r="AL89" s="56">
        <v>0</v>
      </c>
      <c r="AM89" s="67">
        <v>0</v>
      </c>
      <c r="AN89" s="56">
        <v>0</v>
      </c>
      <c r="AO89" s="56">
        <v>0</v>
      </c>
      <c r="AP89" s="63">
        <v>0</v>
      </c>
      <c r="AQ89" s="56">
        <v>0</v>
      </c>
      <c r="AR89" s="56">
        <v>0</v>
      </c>
      <c r="AS89" s="63">
        <v>0</v>
      </c>
      <c r="AT89" s="63">
        <v>0</v>
      </c>
      <c r="AU89" s="56">
        <v>0</v>
      </c>
      <c r="AV89" s="56">
        <v>0</v>
      </c>
      <c r="AW89" s="63">
        <v>0</v>
      </c>
      <c r="AX89" s="46">
        <v>0</v>
      </c>
      <c r="AY89" s="56">
        <v>0</v>
      </c>
      <c r="AZ89" s="63">
        <v>0</v>
      </c>
      <c r="BA89" s="56">
        <v>0</v>
      </c>
      <c r="BB89" s="63">
        <v>0</v>
      </c>
      <c r="BC89" s="56">
        <v>0</v>
      </c>
      <c r="BD89" s="57">
        <v>65</v>
      </c>
      <c r="BE89" s="56">
        <v>2.593</v>
      </c>
    </row>
    <row r="90" spans="1:58" s="44" customFormat="1" ht="15" customHeight="1">
      <c r="A90" s="97">
        <v>2344213</v>
      </c>
      <c r="B90" s="57" t="s">
        <v>293</v>
      </c>
      <c r="C90" s="60" t="s">
        <v>111</v>
      </c>
      <c r="D90" s="58" t="s">
        <v>221</v>
      </c>
      <c r="E90" s="97">
        <v>120</v>
      </c>
      <c r="F90" s="44">
        <v>7.51</v>
      </c>
      <c r="G90" s="44">
        <v>15.48</v>
      </c>
      <c r="H90" s="44">
        <v>100.12</v>
      </c>
      <c r="I90" s="44">
        <v>0</v>
      </c>
      <c r="J90" s="44">
        <v>211</v>
      </c>
      <c r="K90" s="44">
        <v>0.41</v>
      </c>
      <c r="L90" s="86">
        <v>1</v>
      </c>
      <c r="M90" s="45">
        <v>1.33</v>
      </c>
      <c r="N90" s="45">
        <v>48</v>
      </c>
      <c r="O90" s="45">
        <v>127</v>
      </c>
      <c r="P90" s="45">
        <v>258</v>
      </c>
      <c r="Q90" s="44">
        <v>406</v>
      </c>
      <c r="R90" s="44">
        <v>1.01</v>
      </c>
      <c r="S90" s="45">
        <v>0.06</v>
      </c>
      <c r="T90" s="44">
        <v>0</v>
      </c>
      <c r="U90" s="44">
        <v>11.6</v>
      </c>
      <c r="V90" s="44">
        <v>106</v>
      </c>
      <c r="W90" s="45">
        <v>1.75</v>
      </c>
      <c r="X90" s="44">
        <v>0</v>
      </c>
      <c r="Y90" s="44">
        <v>6</v>
      </c>
      <c r="Z90" s="45">
        <v>3230</v>
      </c>
      <c r="AA90" s="45">
        <v>9.4</v>
      </c>
      <c r="AB90" s="44">
        <v>0.11700000000000001</v>
      </c>
      <c r="AC90" s="44">
        <v>0.314</v>
      </c>
      <c r="AD90" s="44">
        <v>0.878</v>
      </c>
      <c r="AE90" s="45">
        <v>0</v>
      </c>
      <c r="AF90" s="44">
        <v>0.14399999999999999</v>
      </c>
      <c r="AG90" s="45">
        <v>0.25</v>
      </c>
      <c r="AH90" s="56">
        <v>46.6</v>
      </c>
      <c r="AI90" s="45">
        <v>211.4</v>
      </c>
      <c r="AJ90" s="44">
        <v>51</v>
      </c>
      <c r="AK90" s="86">
        <v>63</v>
      </c>
      <c r="AL90" s="45">
        <v>0</v>
      </c>
      <c r="AM90" s="66">
        <v>0.122</v>
      </c>
      <c r="AN90" s="45">
        <v>0.52300000000000002</v>
      </c>
      <c r="AO90" s="44">
        <v>0.59599999999999997</v>
      </c>
      <c r="AP90" s="45">
        <v>1.2350000000000001</v>
      </c>
      <c r="AQ90" s="45">
        <v>1.353</v>
      </c>
      <c r="AR90" s="45">
        <v>0.28399999999999997</v>
      </c>
      <c r="AS90" s="45">
        <v>0.1</v>
      </c>
      <c r="AT90" s="44">
        <v>0.56200000000000006</v>
      </c>
      <c r="AU90" s="45">
        <v>0.59599999999999997</v>
      </c>
      <c r="AV90" s="44">
        <v>0.7</v>
      </c>
      <c r="AW90" s="46">
        <v>0.63900000000000001</v>
      </c>
      <c r="AX90" s="46">
        <v>0.505</v>
      </c>
      <c r="AY90" s="45">
        <v>1.07</v>
      </c>
      <c r="AZ90" s="45">
        <v>2.4740000000000002</v>
      </c>
      <c r="BA90" s="44">
        <v>0.29799999999999999</v>
      </c>
      <c r="BB90" s="44">
        <v>1.0780000000000001</v>
      </c>
      <c r="BC90" s="45">
        <v>0.58199999999999996</v>
      </c>
      <c r="BD90" s="57">
        <v>83</v>
      </c>
      <c r="BE90" s="45">
        <v>5.3579999999999997</v>
      </c>
      <c r="BF90" s="44" t="str">
        <f>"new food('"&amp;B90&amp;"','"&amp;C90&amp;"','"&amp;D90&amp;"','"&amp;E90&amp;"','"&amp;F90&amp;"','"&amp;G90&amp;"','"&amp;H90&amp;"','"&amp;I90&amp;"','"&amp;J90&amp;"','"&amp;K90&amp;"','"&amp;L90&amp;"','"&amp;M90&amp;"','"&amp;N90&amp;"','"&amp;O90&amp;"','"&amp;P90&amp;"','"&amp;Q90&amp;"','"&amp;R90&amp;"','"&amp;S90&amp;"','"&amp;T90&amp;"','"&amp;U90&amp;"','"&amp;V90&amp;"','"&amp;W90&amp;"','"&amp;X90&amp;"','"&amp;Y90&amp;"','"&amp;Z90&amp;"','"&amp;AA90&amp;"','"&amp;AB90&amp;"','"&amp;AC90&amp;"','"&amp;AD90&amp;"','"&amp;AE90&amp;"','"&amp;AF90&amp;"','"&amp;AG90&amp;"','"&amp;AH90&amp;"','"&amp;AI90&amp;"','"&amp;AJ90&amp;"','"&amp;AK90&amp;"','"&amp;AL90&amp;"','"&amp;AM90&amp;"','"&amp;AN90&amp;"','"&amp;AO90&amp;"','"&amp;AP90&amp;"','"&amp;AQ90&amp;"','"&amp;AR90&amp;"','"&amp;AS90&amp;"','"&amp;AT90&amp;"','"&amp;AU90&amp;"','"&amp;AV90&amp;"','"&amp;AW90&amp;"','"&amp;AX90&amp;"','"&amp;AY90&amp;"','"&amp;AZ90&amp;"','"&amp;BA90&amp;"','"&amp;BB90&amp;"','"&amp;BC90&amp;"','"&amp;BD90&amp;"','"&amp;BE90&amp;"'),"</f>
        <v>new food('Cheese ricotta','Dairy','1 cup','120','7.51','15.48','100.12','0','211','0.41','1','1.33','48','127','258','406','1.01','0.06','0','11.6','106','1.75','0','6','3230','9.4','0.117','0.314','0.878','0','0.144','0.25','46.6','211.4','51','63','0','0.122','0.523','0.596','1.235','1.353','0.284','0.1','0.562','0.596','0.7','0.639','0.505','1.07','2.474','0.298','1.078','0.582','83','5.358'),</v>
      </c>
    </row>
    <row r="91" spans="1:58" s="44" customFormat="1" ht="15" customHeight="1">
      <c r="A91" s="97"/>
      <c r="B91" s="57"/>
      <c r="C91" s="60"/>
      <c r="D91" s="58"/>
      <c r="E91" s="97"/>
      <c r="L91" s="86"/>
      <c r="M91" s="45"/>
      <c r="N91" s="45"/>
      <c r="O91" s="45"/>
      <c r="P91" s="45"/>
      <c r="S91" s="45"/>
      <c r="W91" s="45"/>
      <c r="Z91" s="45"/>
      <c r="AA91" s="45"/>
      <c r="AE91" s="45"/>
      <c r="AG91" s="45"/>
      <c r="AH91" s="56"/>
      <c r="AI91" s="45"/>
      <c r="AK91" s="86"/>
      <c r="AL91" s="45"/>
      <c r="AM91" s="66"/>
      <c r="AN91" s="45"/>
      <c r="AP91" s="45"/>
      <c r="AQ91" s="45"/>
      <c r="AR91" s="45"/>
      <c r="AS91" s="45"/>
      <c r="AU91" s="45"/>
      <c r="AW91" s="46"/>
      <c r="AX91" s="46"/>
      <c r="AY91" s="45"/>
      <c r="AZ91" s="45"/>
      <c r="BC91" s="45"/>
      <c r="BD91" s="57"/>
      <c r="BE91" s="45"/>
    </row>
    <row r="92" spans="1:58" s="44" customFormat="1" ht="15" customHeight="1">
      <c r="A92" s="97"/>
      <c r="B92" s="57"/>
      <c r="C92" s="60"/>
      <c r="D92" s="58"/>
      <c r="E92" s="97"/>
      <c r="L92" s="86"/>
      <c r="M92" s="45"/>
      <c r="N92" s="45"/>
      <c r="O92" s="45"/>
      <c r="P92" s="45"/>
      <c r="S92" s="45"/>
      <c r="W92" s="45"/>
      <c r="Z92" s="45"/>
      <c r="AA92" s="45"/>
      <c r="AE92" s="45"/>
      <c r="AG92" s="45"/>
      <c r="AH92" s="56"/>
      <c r="AI92" s="45"/>
      <c r="AK92" s="86"/>
      <c r="AL92" s="45"/>
      <c r="AM92" s="66"/>
      <c r="AN92" s="45"/>
      <c r="AP92" s="45"/>
      <c r="AQ92" s="45"/>
      <c r="AR92" s="45"/>
      <c r="AS92" s="45"/>
      <c r="AU92" s="45"/>
      <c r="AW92" s="46"/>
      <c r="AX92" s="46"/>
      <c r="AY92" s="45"/>
      <c r="AZ92" s="45"/>
      <c r="BC92" s="45"/>
      <c r="BD92" s="57"/>
      <c r="BE92" s="45"/>
    </row>
    <row r="93" spans="1:58" s="44" customFormat="1" ht="15" customHeight="1">
      <c r="A93" s="97"/>
      <c r="B93" s="57"/>
      <c r="C93" s="60"/>
      <c r="D93" s="58"/>
      <c r="E93" s="97"/>
      <c r="L93" s="86"/>
      <c r="M93" s="45"/>
      <c r="N93" s="45"/>
      <c r="O93" s="45"/>
      <c r="P93" s="45"/>
      <c r="S93" s="45"/>
      <c r="W93" s="45"/>
      <c r="Z93" s="45"/>
      <c r="AA93" s="45"/>
      <c r="AE93" s="45"/>
      <c r="AG93" s="45"/>
      <c r="AH93" s="56"/>
      <c r="AI93" s="45"/>
      <c r="AK93" s="86"/>
      <c r="AL93" s="45"/>
      <c r="AM93" s="66"/>
      <c r="AN93" s="45"/>
      <c r="AP93" s="45"/>
      <c r="AQ93" s="45"/>
      <c r="AR93" s="45"/>
      <c r="AS93" s="45"/>
      <c r="AU93" s="45"/>
      <c r="AW93" s="46"/>
      <c r="AX93" s="46"/>
      <c r="AY93" s="45"/>
      <c r="AZ93" s="45"/>
      <c r="BC93" s="45"/>
      <c r="BD93" s="57"/>
      <c r="BE93" s="45"/>
    </row>
    <row r="96" spans="1:58">
      <c r="E96" s="35">
        <f t="shared" ref="E96:AJ96" si="7">SUM(E72:E95)/12</f>
        <v>179.66666666666666</v>
      </c>
      <c r="F96" s="35">
        <f t="shared" si="7"/>
        <v>11.071666666666665</v>
      </c>
      <c r="G96" s="35">
        <f t="shared" si="7"/>
        <v>14.699999999999998</v>
      </c>
      <c r="H96" s="35">
        <f t="shared" si="7"/>
        <v>42.194166666666668</v>
      </c>
      <c r="I96" s="35">
        <f t="shared" si="7"/>
        <v>0.16666666666666666</v>
      </c>
      <c r="J96" s="35">
        <f t="shared" si="7"/>
        <v>314.58333333333331</v>
      </c>
      <c r="K96" s="35">
        <f t="shared" si="7"/>
        <v>4.0033333333333321</v>
      </c>
      <c r="L96" s="35">
        <f t="shared" si="7"/>
        <v>2.6649999999999996</v>
      </c>
      <c r="M96" s="35">
        <f t="shared" si="7"/>
        <v>2.6236666666666668</v>
      </c>
      <c r="N96" s="35">
        <f t="shared" si="7"/>
        <v>31.083333333333332</v>
      </c>
      <c r="O96" s="35">
        <f t="shared" si="7"/>
        <v>151.66666666666666</v>
      </c>
      <c r="P96" s="35">
        <f t="shared" si="7"/>
        <v>212.25</v>
      </c>
      <c r="Q96" s="35">
        <f t="shared" si="7"/>
        <v>529.16666666666663</v>
      </c>
      <c r="R96" s="35">
        <f t="shared" si="7"/>
        <v>1.5275000000000005</v>
      </c>
      <c r="S96" s="35">
        <f t="shared" si="7"/>
        <v>0.11666666666666668</v>
      </c>
      <c r="T96" s="35">
        <f t="shared" si="7"/>
        <v>7.1500000000000008E-2</v>
      </c>
      <c r="U96" s="35">
        <f t="shared" si="7"/>
        <v>19.433333333333337</v>
      </c>
      <c r="V96" s="35">
        <f t="shared" si="7"/>
        <v>40.083333333333336</v>
      </c>
      <c r="W96" s="35">
        <f t="shared" si="7"/>
        <v>1.2641666666666667</v>
      </c>
      <c r="X96" s="35">
        <f t="shared" si="7"/>
        <v>0.66666666666666663</v>
      </c>
      <c r="Y96" s="35">
        <f t="shared" si="7"/>
        <v>0.83333333333333337</v>
      </c>
      <c r="Z96" s="35">
        <f t="shared" si="7"/>
        <v>407.08333333333331</v>
      </c>
      <c r="AA96" s="35">
        <f t="shared" si="7"/>
        <v>9.9000000000000021</v>
      </c>
      <c r="AB96" s="35">
        <f t="shared" si="7"/>
        <v>0.35808333333333331</v>
      </c>
      <c r="AC96" s="35">
        <f t="shared" si="7"/>
        <v>0.23499999999999999</v>
      </c>
      <c r="AD96" s="35">
        <f t="shared" si="7"/>
        <v>3.4665000000000012</v>
      </c>
      <c r="AE96" s="35">
        <f t="shared" si="7"/>
        <v>5.8666666666666666E-2</v>
      </c>
      <c r="AF96" s="35">
        <f t="shared" si="7"/>
        <v>0.13833333333333336</v>
      </c>
      <c r="AG96" s="35">
        <f t="shared" si="7"/>
        <v>0.35500000000000004</v>
      </c>
      <c r="AH96" s="35">
        <f t="shared" si="7"/>
        <v>28.074999999999999</v>
      </c>
      <c r="AI96" s="35">
        <f t="shared" si="7"/>
        <v>53.925000000000004</v>
      </c>
      <c r="AJ96" s="35">
        <f t="shared" si="7"/>
        <v>92.083333333333329</v>
      </c>
      <c r="AK96" s="35">
        <f t="shared" ref="AK96:BE96" si="8">SUM(AK72:AK95)/12</f>
        <v>154.91666666666666</v>
      </c>
      <c r="AL96" s="35">
        <f t="shared" si="8"/>
        <v>3.2166666666666663</v>
      </c>
      <c r="AM96" s="35">
        <f t="shared" si="8"/>
        <v>1.833333333333333E-2</v>
      </c>
      <c r="AN96" s="35">
        <f t="shared" si="8"/>
        <v>7.1083333333333332E-2</v>
      </c>
      <c r="AO96" s="35">
        <f t="shared" si="8"/>
        <v>8.433333333333333E-2</v>
      </c>
      <c r="AP96" s="35">
        <f t="shared" si="8"/>
        <v>0.16791666666666669</v>
      </c>
      <c r="AQ96" s="35">
        <f t="shared" si="8"/>
        <v>0.14008333333333334</v>
      </c>
      <c r="AR96" s="35">
        <f t="shared" si="8"/>
        <v>3.9E-2</v>
      </c>
      <c r="AS96" s="35">
        <f t="shared" si="8"/>
        <v>2.5666666666666671E-2</v>
      </c>
      <c r="AT96" s="35">
        <f t="shared" si="8"/>
        <v>9.1333333333333336E-2</v>
      </c>
      <c r="AU96" s="35">
        <f t="shared" si="8"/>
        <v>6.7666666666666667E-2</v>
      </c>
      <c r="AV96" s="35">
        <f t="shared" si="8"/>
        <v>9.799999999999999E-2</v>
      </c>
      <c r="AW96" s="35">
        <f t="shared" si="8"/>
        <v>8.8749999999999996E-2</v>
      </c>
      <c r="AX96" s="35">
        <f t="shared" si="8"/>
        <v>7.4083333333333334E-2</v>
      </c>
      <c r="AY96" s="35">
        <f t="shared" si="8"/>
        <v>0.15233333333333335</v>
      </c>
      <c r="AZ96" s="35">
        <f t="shared" si="8"/>
        <v>0.45801666666666668</v>
      </c>
      <c r="BA96" s="35">
        <f t="shared" si="8"/>
        <v>5.4499999999999993E-2</v>
      </c>
      <c r="BB96" s="35">
        <f t="shared" si="8"/>
        <v>0.17483333333333331</v>
      </c>
      <c r="BC96" s="35">
        <f t="shared" si="8"/>
        <v>9.5666666666666678E-2</v>
      </c>
      <c r="BD96" s="35">
        <f t="shared" si="8"/>
        <v>26.666666666666668</v>
      </c>
      <c r="BE96" s="35">
        <f t="shared" si="8"/>
        <v>4.2898333333333332</v>
      </c>
    </row>
    <row r="97" spans="1:60">
      <c r="F97">
        <v>11.07</v>
      </c>
      <c r="G97">
        <v>14.7</v>
      </c>
      <c r="H97">
        <v>42.19</v>
      </c>
      <c r="I97">
        <v>0.17</v>
      </c>
      <c r="J97">
        <v>314.58</v>
      </c>
      <c r="K97">
        <v>4</v>
      </c>
      <c r="L97">
        <v>2.67</v>
      </c>
      <c r="M97">
        <v>2.62</v>
      </c>
      <c r="N97">
        <v>31.08</v>
      </c>
      <c r="O97">
        <v>151.66999999999999</v>
      </c>
      <c r="P97">
        <v>212.25</v>
      </c>
      <c r="Q97">
        <v>529.16999999999996</v>
      </c>
      <c r="R97">
        <v>1.53</v>
      </c>
      <c r="S97">
        <v>0.12</v>
      </c>
      <c r="T97">
        <v>0.09</v>
      </c>
      <c r="U97">
        <v>19.43</v>
      </c>
      <c r="V97">
        <v>40.08</v>
      </c>
      <c r="W97">
        <v>1.26</v>
      </c>
      <c r="X97">
        <v>0.67</v>
      </c>
      <c r="Y97">
        <v>0.83</v>
      </c>
      <c r="Z97">
        <v>407.08</v>
      </c>
      <c r="AA97">
        <v>9.9</v>
      </c>
      <c r="AB97">
        <v>0.36</v>
      </c>
      <c r="AC97">
        <v>0.24</v>
      </c>
      <c r="AD97">
        <v>3.47</v>
      </c>
      <c r="AE97">
        <v>0.06</v>
      </c>
      <c r="AF97">
        <v>0.14000000000000001</v>
      </c>
      <c r="AG97">
        <v>0.36</v>
      </c>
      <c r="AH97">
        <v>28.08</v>
      </c>
      <c r="AI97">
        <v>53.93</v>
      </c>
      <c r="AJ97">
        <v>92.08</v>
      </c>
      <c r="AK97">
        <v>154.91999999999999</v>
      </c>
      <c r="AL97">
        <v>3.22</v>
      </c>
      <c r="AM97">
        <v>0.02</v>
      </c>
      <c r="AN97">
        <v>7.0000000000000007E-2</v>
      </c>
      <c r="AO97">
        <v>0.08</v>
      </c>
      <c r="AP97">
        <v>0.17</v>
      </c>
      <c r="AQ97">
        <v>0.14000000000000001</v>
      </c>
      <c r="AR97">
        <v>0.04</v>
      </c>
      <c r="AS97">
        <v>0.03</v>
      </c>
      <c r="AT97">
        <v>0.09</v>
      </c>
      <c r="AU97">
        <v>7.0000000000000007E-2</v>
      </c>
      <c r="AV97">
        <v>0.1</v>
      </c>
      <c r="AW97">
        <v>0.09</v>
      </c>
      <c r="AX97">
        <v>7.0000000000000007E-2</v>
      </c>
      <c r="AY97">
        <v>0.15</v>
      </c>
      <c r="AZ97">
        <v>0.46</v>
      </c>
      <c r="BA97">
        <v>0.05</v>
      </c>
      <c r="BB97">
        <v>0.17</v>
      </c>
      <c r="BC97">
        <v>0.1</v>
      </c>
      <c r="BD97">
        <v>26.67</v>
      </c>
      <c r="BE97">
        <v>4.29</v>
      </c>
    </row>
    <row r="101" spans="1:60">
      <c r="A101" t="s">
        <v>379</v>
      </c>
    </row>
    <row r="102" spans="1:60" ht="15" customHeight="1">
      <c r="A102">
        <v>2706925</v>
      </c>
      <c r="B102" s="17" t="s">
        <v>259</v>
      </c>
      <c r="C102" s="43" t="s">
        <v>117</v>
      </c>
      <c r="D102" t="s">
        <v>322</v>
      </c>
      <c r="F102" s="116">
        <v>8.74</v>
      </c>
      <c r="G102" s="116">
        <v>3.93</v>
      </c>
      <c r="H102" s="116">
        <v>10.67</v>
      </c>
      <c r="I102" s="116">
        <v>0</v>
      </c>
      <c r="J102" s="116">
        <v>115</v>
      </c>
      <c r="K102" s="116">
        <v>2.02</v>
      </c>
      <c r="L102" s="116">
        <v>0.4</v>
      </c>
      <c r="M102" s="116">
        <v>1.17</v>
      </c>
      <c r="N102" s="116">
        <v>11</v>
      </c>
      <c r="O102" s="116">
        <v>68</v>
      </c>
      <c r="P102" s="116">
        <v>114</v>
      </c>
      <c r="Q102" s="116">
        <v>274</v>
      </c>
      <c r="R102" s="116">
        <v>1.82</v>
      </c>
      <c r="S102" s="116">
        <v>0.05</v>
      </c>
      <c r="T102" s="116">
        <v>0</v>
      </c>
      <c r="U102" s="116">
        <v>9.4</v>
      </c>
      <c r="V102" s="116">
        <v>7</v>
      </c>
      <c r="W102" s="116">
        <v>0.17</v>
      </c>
      <c r="X102" s="116">
        <v>0</v>
      </c>
      <c r="Y102" s="116">
        <v>0</v>
      </c>
      <c r="Z102" s="116">
        <v>4</v>
      </c>
      <c r="AA102" s="116">
        <v>0.1</v>
      </c>
      <c r="AB102" s="116">
        <v>0.09</v>
      </c>
      <c r="AC102" s="116">
        <v>0.11</v>
      </c>
      <c r="AD102" s="116">
        <v>1.671</v>
      </c>
      <c r="AE102" s="116">
        <v>0</v>
      </c>
      <c r="AF102" s="116">
        <v>7.0000000000000007E-2</v>
      </c>
      <c r="AG102" s="116">
        <v>0.53</v>
      </c>
      <c r="AH102" s="116">
        <v>23.4</v>
      </c>
      <c r="AI102" s="116">
        <v>2.1</v>
      </c>
      <c r="AJ102" s="116">
        <v>2</v>
      </c>
      <c r="AK102" s="116">
        <v>20</v>
      </c>
      <c r="AL102" s="116">
        <v>0</v>
      </c>
      <c r="AM102" s="116">
        <v>0</v>
      </c>
      <c r="AN102" s="116">
        <v>0</v>
      </c>
      <c r="AO102" s="116">
        <v>0</v>
      </c>
      <c r="AP102" s="116">
        <v>0</v>
      </c>
      <c r="AQ102" s="116">
        <v>0</v>
      </c>
      <c r="AR102" s="116">
        <v>0</v>
      </c>
      <c r="AS102" s="116">
        <v>0</v>
      </c>
      <c r="AT102" s="116">
        <v>0</v>
      </c>
      <c r="AU102" s="116">
        <v>0</v>
      </c>
      <c r="AV102" s="116">
        <v>0</v>
      </c>
      <c r="AW102" s="116">
        <v>0</v>
      </c>
      <c r="AX102" s="116">
        <v>0</v>
      </c>
      <c r="AY102" s="116">
        <v>0</v>
      </c>
      <c r="AZ102" s="116">
        <v>0</v>
      </c>
      <c r="BA102" s="116">
        <v>0</v>
      </c>
      <c r="BB102" s="116">
        <v>0</v>
      </c>
      <c r="BC102" s="116">
        <v>0</v>
      </c>
      <c r="BD102" s="116">
        <v>23</v>
      </c>
      <c r="BE102" s="116">
        <v>1.55</v>
      </c>
      <c r="BF102" s="24">
        <v>38</v>
      </c>
      <c r="BG102">
        <v>2.5179999999999998</v>
      </c>
      <c r="BH102" s="17"/>
    </row>
    <row r="103" spans="1:60" ht="15" customHeight="1">
      <c r="A103">
        <v>2709932</v>
      </c>
      <c r="B103" t="s">
        <v>261</v>
      </c>
      <c r="C103" s="29"/>
      <c r="D103" s="14" t="s">
        <v>262</v>
      </c>
      <c r="E103" s="14">
        <v>3</v>
      </c>
      <c r="F103" s="32">
        <v>2.29</v>
      </c>
      <c r="G103" s="26">
        <v>2.71</v>
      </c>
      <c r="H103" s="32">
        <v>4.41</v>
      </c>
      <c r="I103" s="32">
        <v>0</v>
      </c>
      <c r="J103" s="26">
        <v>46</v>
      </c>
      <c r="K103" s="26">
        <v>1.23</v>
      </c>
      <c r="L103" s="26">
        <v>2.8</v>
      </c>
      <c r="M103" s="26">
        <v>0.5</v>
      </c>
      <c r="N103" s="26">
        <v>11</v>
      </c>
      <c r="O103" s="26">
        <v>36</v>
      </c>
      <c r="P103" s="26">
        <v>136</v>
      </c>
      <c r="Q103" s="26">
        <v>135</v>
      </c>
      <c r="R103" s="26">
        <v>0.2</v>
      </c>
      <c r="S103" s="38">
        <v>2.8000000000000001E-2</v>
      </c>
      <c r="T103" s="26">
        <v>0</v>
      </c>
      <c r="U103" s="26">
        <v>0.6</v>
      </c>
      <c r="V103" s="26">
        <v>11</v>
      </c>
      <c r="W103" s="26">
        <v>1.05</v>
      </c>
      <c r="X103" s="26">
        <v>0</v>
      </c>
      <c r="Y103" s="26">
        <v>1</v>
      </c>
      <c r="Z103" s="26">
        <v>542</v>
      </c>
      <c r="AA103" s="26">
        <v>34.6</v>
      </c>
      <c r="AB103" s="38">
        <v>4.4999999999999998E-2</v>
      </c>
      <c r="AC103" s="38">
        <v>6.5000000000000002E-2</v>
      </c>
      <c r="AD103" s="38">
        <v>0.372</v>
      </c>
      <c r="AE103" s="38">
        <v>0</v>
      </c>
      <c r="AF103" s="38">
        <v>0.122</v>
      </c>
      <c r="AG103" s="38">
        <v>0</v>
      </c>
      <c r="AH103" s="38">
        <v>24.3</v>
      </c>
      <c r="AI103" s="38">
        <v>50.5</v>
      </c>
      <c r="AJ103" s="26">
        <v>47</v>
      </c>
      <c r="AK103" s="26">
        <v>47</v>
      </c>
      <c r="AL103" s="26">
        <v>0</v>
      </c>
      <c r="AM103" s="26">
        <v>0</v>
      </c>
      <c r="AN103" s="26">
        <v>0</v>
      </c>
      <c r="AO103" s="26">
        <v>0</v>
      </c>
      <c r="AP103" s="26">
        <v>0</v>
      </c>
      <c r="AQ103" s="26">
        <v>0</v>
      </c>
      <c r="AR103" s="26">
        <v>0</v>
      </c>
      <c r="AS103" s="26">
        <v>0</v>
      </c>
      <c r="AT103" s="26">
        <v>0</v>
      </c>
      <c r="AU103" s="26">
        <v>0</v>
      </c>
      <c r="AV103" s="26">
        <v>0</v>
      </c>
      <c r="AW103" s="26">
        <v>0</v>
      </c>
      <c r="AX103" s="26">
        <v>0</v>
      </c>
      <c r="AY103" s="26">
        <v>0</v>
      </c>
      <c r="AZ103" s="26">
        <v>0</v>
      </c>
      <c r="BA103" s="26">
        <v>0</v>
      </c>
      <c r="BB103" s="26">
        <v>0</v>
      </c>
      <c r="BC103" s="26">
        <v>0</v>
      </c>
      <c r="BD103" s="26">
        <v>0</v>
      </c>
      <c r="BE103" s="26">
        <v>0</v>
      </c>
      <c r="BF103" s="26">
        <v>2</v>
      </c>
      <c r="BG103" s="26">
        <v>0.91500000000000004</v>
      </c>
      <c r="BH103" s="26"/>
    </row>
    <row r="104" spans="1:60">
      <c r="A104">
        <v>790646</v>
      </c>
      <c r="B104" t="s">
        <v>267</v>
      </c>
      <c r="E104">
        <f>E119/4</f>
        <v>0</v>
      </c>
      <c r="F104">
        <f t="shared" ref="F104:J104" si="9">F119/4</f>
        <v>0</v>
      </c>
      <c r="G104">
        <f t="shared" si="9"/>
        <v>0</v>
      </c>
      <c r="H104">
        <f t="shared" si="9"/>
        <v>0</v>
      </c>
      <c r="I104">
        <f t="shared" si="9"/>
        <v>0</v>
      </c>
      <c r="J104">
        <f t="shared" si="9"/>
        <v>0</v>
      </c>
      <c r="K104">
        <f>Q119/4</f>
        <v>0</v>
      </c>
      <c r="L104">
        <f t="shared" ref="L104:T104" si="10">S119/4</f>
        <v>0</v>
      </c>
      <c r="M104">
        <f t="shared" si="10"/>
        <v>0</v>
      </c>
      <c r="N104">
        <f t="shared" si="10"/>
        <v>0</v>
      </c>
      <c r="O104">
        <f t="shared" si="10"/>
        <v>0</v>
      </c>
      <c r="P104">
        <f t="shared" si="10"/>
        <v>0</v>
      </c>
      <c r="Q104">
        <f t="shared" si="10"/>
        <v>0</v>
      </c>
      <c r="R104">
        <f t="shared" si="10"/>
        <v>0</v>
      </c>
      <c r="S104" s="35">
        <f t="shared" si="10"/>
        <v>0</v>
      </c>
      <c r="T104">
        <f t="shared" si="10"/>
        <v>0</v>
      </c>
      <c r="U104">
        <f>AC119/4</f>
        <v>0</v>
      </c>
      <c r="V104">
        <f>AD119/4</f>
        <v>0</v>
      </c>
      <c r="W104">
        <f>AE119/4</f>
        <v>0</v>
      </c>
      <c r="X104">
        <f>AF119/4</f>
        <v>0</v>
      </c>
      <c r="Y104">
        <f>AG119/4</f>
        <v>0</v>
      </c>
      <c r="Z104">
        <f t="shared" ref="Z104:AI104" si="11">AI119/4</f>
        <v>0</v>
      </c>
      <c r="AA104">
        <f t="shared" si="11"/>
        <v>0</v>
      </c>
      <c r="AB104" s="35">
        <f t="shared" si="11"/>
        <v>0</v>
      </c>
      <c r="AC104" s="35">
        <f t="shared" si="11"/>
        <v>0</v>
      </c>
      <c r="AD104" s="35">
        <f t="shared" si="11"/>
        <v>0</v>
      </c>
      <c r="AE104" s="35">
        <f t="shared" si="11"/>
        <v>0</v>
      </c>
      <c r="AF104" s="35">
        <f t="shared" si="11"/>
        <v>0</v>
      </c>
      <c r="AG104" s="35">
        <f t="shared" si="11"/>
        <v>0</v>
      </c>
      <c r="AH104" s="35">
        <f t="shared" si="11"/>
        <v>0</v>
      </c>
      <c r="AI104" s="35">
        <f t="shared" si="11"/>
        <v>0</v>
      </c>
      <c r="AJ104">
        <f t="shared" ref="AJ104:BG104" si="12">AT119/4</f>
        <v>0</v>
      </c>
      <c r="AK104">
        <f t="shared" si="12"/>
        <v>0</v>
      </c>
      <c r="AL104">
        <f t="shared" si="12"/>
        <v>0</v>
      </c>
      <c r="AM104">
        <f t="shared" si="12"/>
        <v>0</v>
      </c>
      <c r="AN104">
        <f t="shared" si="12"/>
        <v>0</v>
      </c>
      <c r="AO104">
        <f t="shared" si="12"/>
        <v>0</v>
      </c>
      <c r="AP104">
        <f t="shared" si="12"/>
        <v>0</v>
      </c>
      <c r="AQ104">
        <f t="shared" si="12"/>
        <v>0</v>
      </c>
      <c r="AR104">
        <f t="shared" si="12"/>
        <v>0</v>
      </c>
      <c r="AS104">
        <f t="shared" si="12"/>
        <v>0</v>
      </c>
      <c r="AT104">
        <f t="shared" si="12"/>
        <v>0</v>
      </c>
      <c r="AU104">
        <f t="shared" si="12"/>
        <v>0</v>
      </c>
      <c r="AV104">
        <f t="shared" si="12"/>
        <v>0</v>
      </c>
      <c r="AW104">
        <f t="shared" si="12"/>
        <v>0</v>
      </c>
      <c r="AX104">
        <f t="shared" si="12"/>
        <v>0</v>
      </c>
      <c r="AY104">
        <f t="shared" si="12"/>
        <v>0</v>
      </c>
      <c r="AZ104">
        <f t="shared" si="12"/>
        <v>0</v>
      </c>
      <c r="BA104">
        <f t="shared" si="12"/>
        <v>0</v>
      </c>
      <c r="BB104">
        <f t="shared" si="12"/>
        <v>0</v>
      </c>
      <c r="BC104">
        <f t="shared" si="12"/>
        <v>0</v>
      </c>
      <c r="BD104">
        <f t="shared" si="12"/>
        <v>0</v>
      </c>
      <c r="BE104">
        <f t="shared" si="12"/>
        <v>0</v>
      </c>
      <c r="BF104">
        <f t="shared" si="12"/>
        <v>0</v>
      </c>
      <c r="BG104">
        <f t="shared" si="12"/>
        <v>0</v>
      </c>
    </row>
    <row r="105" spans="1:60" ht="15" customHeight="1">
      <c r="A105">
        <v>2705497</v>
      </c>
      <c r="B105" t="s">
        <v>278</v>
      </c>
      <c r="D105" s="14" t="s">
        <v>221</v>
      </c>
      <c r="E105" s="14"/>
      <c r="F105" s="32">
        <v>3.16</v>
      </c>
      <c r="G105" s="26">
        <v>1.8</v>
      </c>
      <c r="H105" s="26">
        <v>10.7</v>
      </c>
      <c r="I105" s="26">
        <v>0</v>
      </c>
      <c r="J105" s="26">
        <v>71</v>
      </c>
      <c r="K105" s="26">
        <v>10.46</v>
      </c>
      <c r="L105" s="26">
        <v>0</v>
      </c>
      <c r="M105" s="26">
        <v>0.03</v>
      </c>
      <c r="N105" s="26">
        <v>11</v>
      </c>
      <c r="O105" s="26">
        <v>97</v>
      </c>
      <c r="P105" s="26">
        <v>150</v>
      </c>
      <c r="Q105" s="26">
        <v>39</v>
      </c>
      <c r="R105" s="26">
        <v>0.4</v>
      </c>
      <c r="S105" s="38">
        <v>1E-3</v>
      </c>
      <c r="T105" s="26">
        <v>0</v>
      </c>
      <c r="U105" s="26">
        <v>1.7</v>
      </c>
      <c r="V105" s="26">
        <v>78</v>
      </c>
      <c r="W105" s="26">
        <v>0.03</v>
      </c>
      <c r="X105" s="26">
        <v>0</v>
      </c>
      <c r="Y105" s="26">
        <v>0</v>
      </c>
      <c r="Z105" s="26">
        <v>0</v>
      </c>
      <c r="AA105" s="26">
        <v>0.2</v>
      </c>
      <c r="AB105" s="38">
        <v>5.6000000000000001E-2</v>
      </c>
      <c r="AC105" s="38">
        <v>0.13500000000000001</v>
      </c>
      <c r="AD105" s="38">
        <v>0.11</v>
      </c>
      <c r="AE105" s="38">
        <v>0</v>
      </c>
      <c r="AF105" s="38">
        <v>5.7000000000000002E-2</v>
      </c>
      <c r="AG105" s="38">
        <v>0.52</v>
      </c>
      <c r="AH105" s="38">
        <v>17.100000000000001</v>
      </c>
      <c r="AI105" s="38">
        <v>0.2</v>
      </c>
      <c r="AJ105" s="26">
        <v>2</v>
      </c>
      <c r="AK105" s="26">
        <v>2</v>
      </c>
      <c r="AL105" s="26">
        <v>0</v>
      </c>
      <c r="AM105" s="26">
        <v>0</v>
      </c>
      <c r="AN105" s="26">
        <v>0</v>
      </c>
      <c r="AO105" s="26">
        <v>0</v>
      </c>
      <c r="AP105" s="26">
        <v>0</v>
      </c>
      <c r="AQ105" s="26">
        <v>0</v>
      </c>
      <c r="AR105" s="26">
        <v>0</v>
      </c>
      <c r="AS105" s="26">
        <v>0</v>
      </c>
      <c r="AT105" s="26">
        <v>0</v>
      </c>
      <c r="AU105" s="26">
        <v>0</v>
      </c>
      <c r="AV105" s="26">
        <v>0</v>
      </c>
      <c r="AW105" s="26">
        <v>0</v>
      </c>
      <c r="AX105" s="26">
        <v>0</v>
      </c>
      <c r="AY105" s="26">
        <v>0</v>
      </c>
      <c r="AZ105" s="26">
        <v>0</v>
      </c>
      <c r="BA105" s="26">
        <v>0</v>
      </c>
      <c r="BB105" s="26">
        <v>0</v>
      </c>
      <c r="BC105" s="26">
        <v>0</v>
      </c>
      <c r="BD105" s="26">
        <v>0</v>
      </c>
      <c r="BE105" s="26">
        <v>0</v>
      </c>
      <c r="BF105" s="26">
        <v>8</v>
      </c>
      <c r="BG105" s="26">
        <v>0.375</v>
      </c>
      <c r="BH105" s="26"/>
    </row>
    <row r="106" spans="1:60" ht="15" customHeight="1">
      <c r="A106">
        <v>2705497</v>
      </c>
      <c r="B106" t="s">
        <v>278</v>
      </c>
      <c r="D106" s="14" t="s">
        <v>221</v>
      </c>
      <c r="E106" s="14"/>
      <c r="F106" s="32">
        <v>3.16</v>
      </c>
      <c r="G106" s="26">
        <v>1.8</v>
      </c>
      <c r="H106" s="26">
        <v>10.7</v>
      </c>
      <c r="I106" s="26">
        <v>0</v>
      </c>
      <c r="J106" s="26">
        <v>71</v>
      </c>
      <c r="K106" s="26">
        <v>10.46</v>
      </c>
      <c r="L106" s="26">
        <v>0</v>
      </c>
      <c r="M106" s="26">
        <v>0.03</v>
      </c>
      <c r="N106" s="26">
        <v>11</v>
      </c>
      <c r="O106" s="26">
        <v>97</v>
      </c>
      <c r="P106" s="26">
        <v>150</v>
      </c>
      <c r="Q106" s="26">
        <v>39</v>
      </c>
      <c r="R106" s="26">
        <v>0.4</v>
      </c>
      <c r="S106" s="38">
        <v>1E-3</v>
      </c>
      <c r="T106" s="26">
        <v>0</v>
      </c>
      <c r="U106" s="26">
        <v>1.7</v>
      </c>
      <c r="V106" s="26">
        <v>78</v>
      </c>
      <c r="W106" s="26">
        <v>0.03</v>
      </c>
      <c r="X106" s="26">
        <v>0</v>
      </c>
      <c r="Y106" s="26">
        <v>0</v>
      </c>
      <c r="Z106" s="26">
        <v>0</v>
      </c>
      <c r="AA106" s="26">
        <v>0.2</v>
      </c>
      <c r="AB106" s="38">
        <v>5.6000000000000001E-2</v>
      </c>
      <c r="AC106" s="38">
        <v>0.13500000000000001</v>
      </c>
      <c r="AD106" s="38">
        <v>0.11</v>
      </c>
      <c r="AE106" s="38">
        <v>0</v>
      </c>
      <c r="AF106" s="38">
        <v>5.7000000000000002E-2</v>
      </c>
      <c r="AG106" s="38">
        <v>0.52</v>
      </c>
      <c r="AH106" s="38">
        <v>17.100000000000001</v>
      </c>
      <c r="AI106" s="38">
        <v>0.2</v>
      </c>
      <c r="AJ106" s="26">
        <v>2</v>
      </c>
      <c r="AK106" s="26">
        <v>2</v>
      </c>
      <c r="AL106" s="26">
        <v>0</v>
      </c>
      <c r="AM106" s="26">
        <v>0</v>
      </c>
      <c r="AN106" s="26">
        <v>0</v>
      </c>
      <c r="AO106" s="26">
        <v>0</v>
      </c>
      <c r="AP106" s="26">
        <v>0</v>
      </c>
      <c r="AQ106" s="26">
        <v>0</v>
      </c>
      <c r="AR106" s="26">
        <v>0</v>
      </c>
      <c r="AS106" s="26">
        <v>0</v>
      </c>
      <c r="AT106" s="26">
        <v>0</v>
      </c>
      <c r="AU106" s="26">
        <v>0</v>
      </c>
      <c r="AV106" s="26">
        <v>0</v>
      </c>
      <c r="AW106" s="26">
        <v>0</v>
      </c>
      <c r="AX106" s="26">
        <v>0</v>
      </c>
      <c r="AY106" s="26">
        <v>0</v>
      </c>
      <c r="AZ106" s="26">
        <v>0</v>
      </c>
      <c r="BA106" s="26">
        <v>0</v>
      </c>
      <c r="BB106" s="26">
        <v>0</v>
      </c>
      <c r="BC106" s="26">
        <v>0</v>
      </c>
      <c r="BD106" s="26">
        <v>0</v>
      </c>
      <c r="BE106" s="26">
        <v>0</v>
      </c>
      <c r="BF106" s="26">
        <v>8</v>
      </c>
      <c r="BG106" s="26">
        <v>0.375</v>
      </c>
      <c r="BH106" s="26"/>
    </row>
    <row r="107" spans="1:60" ht="15" customHeight="1">
      <c r="A107" s="12">
        <v>2341197</v>
      </c>
      <c r="B107" s="12" t="s">
        <v>243</v>
      </c>
      <c r="C107" s="31" t="s">
        <v>111</v>
      </c>
      <c r="D107" s="17" t="s">
        <v>226</v>
      </c>
      <c r="E107" s="5">
        <v>17</v>
      </c>
      <c r="F107" s="3">
        <v>7.5</v>
      </c>
      <c r="G107" s="3">
        <v>12.26</v>
      </c>
      <c r="H107">
        <v>6.32</v>
      </c>
      <c r="I107" s="12">
        <v>0</v>
      </c>
      <c r="J107" s="6">
        <v>165</v>
      </c>
      <c r="K107" s="13">
        <v>4.21</v>
      </c>
      <c r="L107" s="3">
        <v>0.1</v>
      </c>
      <c r="M107" s="3">
        <v>0.16</v>
      </c>
      <c r="N107" s="3">
        <v>16</v>
      </c>
      <c r="O107" s="3">
        <v>1.76</v>
      </c>
      <c r="P107" s="34">
        <v>151</v>
      </c>
      <c r="Q107" s="34">
        <v>280</v>
      </c>
      <c r="R107" s="34">
        <v>1.08</v>
      </c>
      <c r="S107" s="122">
        <v>1.0999999999999999E-2</v>
      </c>
      <c r="T107" s="34">
        <v>0</v>
      </c>
      <c r="U107" s="34">
        <v>7.3</v>
      </c>
      <c r="V107" s="34">
        <v>146</v>
      </c>
      <c r="W107" s="34">
        <v>0.61</v>
      </c>
      <c r="X107" s="34">
        <v>0</v>
      </c>
      <c r="Y107" s="21">
        <v>0</v>
      </c>
      <c r="Z107" s="34">
        <v>0</v>
      </c>
      <c r="AA107" s="34">
        <v>0.1</v>
      </c>
      <c r="AB107" s="123">
        <v>5.8000000000000003E-2</v>
      </c>
      <c r="AC107" s="123">
        <v>0.21</v>
      </c>
      <c r="AD107" s="123">
        <v>0.24</v>
      </c>
      <c r="AE107" s="123">
        <v>0</v>
      </c>
      <c r="AF107" s="123">
        <v>0.05</v>
      </c>
      <c r="AG107" s="124">
        <v>0.38</v>
      </c>
      <c r="AH107" s="125">
        <v>14.6</v>
      </c>
      <c r="AI107" s="124">
        <v>5.2</v>
      </c>
      <c r="AJ107" s="17">
        <v>0</v>
      </c>
      <c r="AK107" s="6">
        <v>8</v>
      </c>
      <c r="AL107" s="17">
        <v>0</v>
      </c>
      <c r="AM107" s="3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17">
        <v>0</v>
      </c>
      <c r="AX107" s="6">
        <v>0</v>
      </c>
      <c r="AY107" s="17">
        <v>0</v>
      </c>
      <c r="AZ107" s="17">
        <v>0</v>
      </c>
      <c r="BA107" s="6">
        <v>0</v>
      </c>
      <c r="BB107" s="6">
        <v>0</v>
      </c>
      <c r="BC107" s="6">
        <v>0</v>
      </c>
      <c r="BD107" s="6">
        <v>0</v>
      </c>
      <c r="BE107" s="5">
        <v>0</v>
      </c>
      <c r="BF107" s="3">
        <v>26</v>
      </c>
      <c r="BG107" s="6">
        <v>3.71</v>
      </c>
      <c r="BH107" s="17"/>
    </row>
    <row r="108" spans="1:60" ht="15" customHeight="1">
      <c r="A108">
        <v>2210908</v>
      </c>
      <c r="B108" t="s">
        <v>268</v>
      </c>
      <c r="D108" s="14"/>
      <c r="E108" s="14" t="s">
        <v>357</v>
      </c>
      <c r="F108" s="62">
        <v>2.33</v>
      </c>
      <c r="G108" s="46">
        <v>9.3000000000000007</v>
      </c>
      <c r="H108" s="46">
        <v>16.28</v>
      </c>
      <c r="I108" s="46">
        <v>0</v>
      </c>
      <c r="J108" s="46">
        <v>151</v>
      </c>
      <c r="K108" s="46">
        <v>523</v>
      </c>
      <c r="L108" s="46">
        <v>0</v>
      </c>
      <c r="M108" s="46">
        <v>0</v>
      </c>
      <c r="N108" s="46">
        <v>0</v>
      </c>
      <c r="O108" s="46">
        <v>0</v>
      </c>
      <c r="P108" s="46">
        <v>0</v>
      </c>
      <c r="Q108" s="46">
        <v>0</v>
      </c>
      <c r="R108" s="46">
        <v>0</v>
      </c>
      <c r="S108" s="46">
        <v>0</v>
      </c>
      <c r="T108" s="46">
        <v>0</v>
      </c>
      <c r="U108" s="46">
        <v>0</v>
      </c>
      <c r="V108" s="46">
        <v>0</v>
      </c>
      <c r="W108" s="46">
        <v>0</v>
      </c>
      <c r="X108" s="46">
        <v>0</v>
      </c>
      <c r="Y108" s="46">
        <v>0</v>
      </c>
      <c r="Z108" s="46">
        <v>0</v>
      </c>
      <c r="AA108" s="46">
        <v>0</v>
      </c>
      <c r="AB108" s="46">
        <v>0</v>
      </c>
      <c r="AC108" s="46">
        <v>0</v>
      </c>
      <c r="AD108" s="46">
        <v>0</v>
      </c>
      <c r="AE108" s="46">
        <v>0</v>
      </c>
      <c r="AF108" s="46">
        <v>0</v>
      </c>
      <c r="AG108" s="46">
        <v>0</v>
      </c>
      <c r="AH108" s="46">
        <v>0</v>
      </c>
      <c r="AI108" s="46">
        <v>0</v>
      </c>
      <c r="AJ108" s="46">
        <v>0</v>
      </c>
      <c r="AK108" s="46">
        <v>0</v>
      </c>
      <c r="AL108" s="46">
        <v>0</v>
      </c>
      <c r="AM108" s="46">
        <v>0</v>
      </c>
      <c r="AN108" s="46">
        <v>0</v>
      </c>
      <c r="AO108" s="46">
        <v>0</v>
      </c>
      <c r="AP108" s="46">
        <v>0</v>
      </c>
      <c r="AQ108" s="46">
        <v>0</v>
      </c>
      <c r="AR108" s="46">
        <v>0</v>
      </c>
      <c r="AS108" s="46">
        <v>0</v>
      </c>
      <c r="AT108" s="46">
        <v>0</v>
      </c>
      <c r="AU108" s="46">
        <v>0</v>
      </c>
      <c r="AV108" s="14">
        <f t="shared" ref="AV108:BG108" si="13">BF118*15</f>
        <v>0</v>
      </c>
      <c r="AW108" s="14">
        <f t="shared" si="13"/>
        <v>0</v>
      </c>
      <c r="AX108" s="14">
        <f t="shared" si="13"/>
        <v>0</v>
      </c>
      <c r="AY108" s="14">
        <f t="shared" si="13"/>
        <v>0</v>
      </c>
      <c r="AZ108" s="14">
        <f t="shared" si="13"/>
        <v>0</v>
      </c>
      <c r="BA108" s="14">
        <f t="shared" si="13"/>
        <v>0</v>
      </c>
      <c r="BB108" s="14">
        <f t="shared" si="13"/>
        <v>0</v>
      </c>
      <c r="BC108" s="14">
        <f t="shared" si="13"/>
        <v>0</v>
      </c>
      <c r="BD108" s="14">
        <f t="shared" si="13"/>
        <v>0</v>
      </c>
      <c r="BE108" s="14">
        <f t="shared" si="13"/>
        <v>0</v>
      </c>
      <c r="BF108" s="14">
        <f t="shared" si="13"/>
        <v>0</v>
      </c>
      <c r="BG108" s="14">
        <f t="shared" si="13"/>
        <v>0</v>
      </c>
      <c r="BH108" s="26"/>
    </row>
    <row r="109" spans="1:60" ht="15" customHeight="1">
      <c r="A109">
        <v>2706816</v>
      </c>
      <c r="B109" t="s">
        <v>269</v>
      </c>
      <c r="D109" s="14" t="s">
        <v>270</v>
      </c>
      <c r="E109" s="14" t="s">
        <v>271</v>
      </c>
      <c r="F109" s="32">
        <v>11.44</v>
      </c>
      <c r="G109" s="26">
        <v>5.46</v>
      </c>
      <c r="H109" s="26">
        <v>9.5</v>
      </c>
      <c r="I109" s="26">
        <v>0</v>
      </c>
      <c r="J109" s="26">
        <v>130</v>
      </c>
      <c r="K109" s="26">
        <v>2.99</v>
      </c>
      <c r="L109" s="26">
        <v>1.9</v>
      </c>
      <c r="M109" s="26">
        <v>0.96</v>
      </c>
      <c r="N109" s="26">
        <v>35</v>
      </c>
      <c r="O109" s="26">
        <v>126</v>
      </c>
      <c r="P109" s="26">
        <v>280</v>
      </c>
      <c r="Q109" s="26">
        <v>176</v>
      </c>
      <c r="R109" s="26">
        <v>0.6</v>
      </c>
      <c r="S109" s="38">
        <v>9.6000000000000002E-2</v>
      </c>
      <c r="T109" s="26">
        <v>0</v>
      </c>
      <c r="U109" s="26">
        <v>9.6999999999999993</v>
      </c>
      <c r="V109" s="26">
        <v>2</v>
      </c>
      <c r="W109" s="26">
        <v>1.78</v>
      </c>
      <c r="X109" s="26">
        <v>0</v>
      </c>
      <c r="Y109" s="26">
        <v>94</v>
      </c>
      <c r="Z109" s="26">
        <v>830</v>
      </c>
      <c r="AA109" s="26">
        <v>10</v>
      </c>
      <c r="AB109" s="38">
        <v>0.108</v>
      </c>
      <c r="AC109" s="38">
        <v>0.16800000000000001</v>
      </c>
      <c r="AD109" s="38">
        <v>3.7959999999999998</v>
      </c>
      <c r="AE109" s="38">
        <v>0</v>
      </c>
      <c r="AF109" s="38">
        <v>0.156</v>
      </c>
      <c r="AG109" s="38">
        <v>0.09</v>
      </c>
      <c r="AH109" s="38">
        <v>28.9</v>
      </c>
      <c r="AI109" s="38">
        <v>51.8</v>
      </c>
      <c r="AJ109" s="26">
        <v>29</v>
      </c>
      <c r="AK109" s="26">
        <v>39</v>
      </c>
      <c r="AL109" s="26">
        <v>0</v>
      </c>
      <c r="AM109" s="26">
        <v>0</v>
      </c>
      <c r="AN109" s="26">
        <v>0</v>
      </c>
      <c r="AO109" s="26">
        <v>0</v>
      </c>
      <c r="AP109" s="26">
        <v>0</v>
      </c>
      <c r="AQ109" s="26">
        <v>0</v>
      </c>
      <c r="AR109" s="26">
        <v>0</v>
      </c>
      <c r="AS109" s="26">
        <v>0</v>
      </c>
      <c r="AT109" s="26">
        <v>0</v>
      </c>
      <c r="AU109" s="26">
        <v>0</v>
      </c>
      <c r="AV109" s="26">
        <v>0</v>
      </c>
      <c r="AW109" s="26">
        <v>0</v>
      </c>
      <c r="AX109" s="26">
        <v>0</v>
      </c>
      <c r="AY109" s="26">
        <v>0</v>
      </c>
      <c r="AZ109" s="26">
        <v>0</v>
      </c>
      <c r="BA109" s="26">
        <v>0</v>
      </c>
      <c r="BB109" s="26">
        <v>0</v>
      </c>
      <c r="BC109" s="26">
        <v>0</v>
      </c>
      <c r="BD109" s="26">
        <v>0</v>
      </c>
      <c r="BE109" s="26">
        <v>0</v>
      </c>
      <c r="BF109" s="26">
        <v>27</v>
      </c>
      <c r="BG109" s="26">
        <v>2.7669999999999999</v>
      </c>
      <c r="BH109" s="26"/>
    </row>
    <row r="110" spans="1:60" ht="15" customHeight="1">
      <c r="A110">
        <v>2706816</v>
      </c>
      <c r="B110" t="s">
        <v>269</v>
      </c>
      <c r="D110" s="14" t="s">
        <v>270</v>
      </c>
      <c r="E110" s="14" t="s">
        <v>271</v>
      </c>
      <c r="F110" s="32">
        <v>11.44</v>
      </c>
      <c r="G110" s="26">
        <v>5.46</v>
      </c>
      <c r="H110" s="26">
        <v>9.5</v>
      </c>
      <c r="I110" s="26">
        <v>0</v>
      </c>
      <c r="J110" s="26">
        <v>130</v>
      </c>
      <c r="K110" s="26">
        <v>2.99</v>
      </c>
      <c r="L110" s="26">
        <v>1.9</v>
      </c>
      <c r="M110" s="26">
        <v>0.96</v>
      </c>
      <c r="N110" s="26">
        <v>35</v>
      </c>
      <c r="O110" s="26">
        <v>126</v>
      </c>
      <c r="P110" s="26">
        <v>280</v>
      </c>
      <c r="Q110" s="26">
        <v>176</v>
      </c>
      <c r="R110" s="26">
        <v>0.6</v>
      </c>
      <c r="S110" s="38">
        <v>9.6000000000000002E-2</v>
      </c>
      <c r="T110" s="26">
        <v>0</v>
      </c>
      <c r="U110" s="26">
        <v>9.6999999999999993</v>
      </c>
      <c r="V110" s="26">
        <v>2</v>
      </c>
      <c r="W110" s="26">
        <v>1.78</v>
      </c>
      <c r="X110" s="26">
        <v>0</v>
      </c>
      <c r="Y110" s="26">
        <v>94</v>
      </c>
      <c r="Z110" s="26">
        <v>830</v>
      </c>
      <c r="AA110" s="26">
        <v>10</v>
      </c>
      <c r="AB110" s="38">
        <v>0.108</v>
      </c>
      <c r="AC110" s="38">
        <v>0.16800000000000001</v>
      </c>
      <c r="AD110" s="38">
        <v>3.7959999999999998</v>
      </c>
      <c r="AE110" s="38">
        <v>0</v>
      </c>
      <c r="AF110" s="38">
        <v>0.156</v>
      </c>
      <c r="AG110" s="38">
        <v>0.09</v>
      </c>
      <c r="AH110" s="38">
        <v>28.9</v>
      </c>
      <c r="AI110" s="38">
        <v>51.8</v>
      </c>
      <c r="AJ110" s="26">
        <v>29</v>
      </c>
      <c r="AK110" s="26">
        <v>39</v>
      </c>
      <c r="AL110" s="26">
        <v>0</v>
      </c>
      <c r="AM110" s="26">
        <v>0</v>
      </c>
      <c r="AN110" s="26">
        <v>0</v>
      </c>
      <c r="AO110" s="26">
        <v>0</v>
      </c>
      <c r="AP110" s="26">
        <v>0</v>
      </c>
      <c r="AQ110" s="26">
        <v>0</v>
      </c>
      <c r="AR110" s="26">
        <v>0</v>
      </c>
      <c r="AS110" s="26">
        <v>0</v>
      </c>
      <c r="AT110" s="26">
        <v>0</v>
      </c>
      <c r="AU110" s="26">
        <v>0</v>
      </c>
      <c r="AV110" s="26">
        <v>0</v>
      </c>
      <c r="AW110" s="26">
        <v>0</v>
      </c>
      <c r="AX110" s="26">
        <v>0</v>
      </c>
      <c r="AY110" s="26">
        <v>0</v>
      </c>
      <c r="AZ110" s="26">
        <v>0</v>
      </c>
      <c r="BA110" s="26">
        <v>0</v>
      </c>
      <c r="BB110" s="26">
        <v>0</v>
      </c>
      <c r="BC110" s="26">
        <v>0</v>
      </c>
      <c r="BD110" s="26">
        <v>0</v>
      </c>
      <c r="BE110" s="26">
        <v>0</v>
      </c>
      <c r="BF110" s="26">
        <v>27</v>
      </c>
      <c r="BG110" s="26">
        <v>2.7669999999999999</v>
      </c>
      <c r="BH110" s="26"/>
    </row>
    <row r="111" spans="1:60" ht="15" customHeight="1">
      <c r="A111">
        <v>2706816</v>
      </c>
      <c r="B111" t="s">
        <v>269</v>
      </c>
      <c r="D111" s="14" t="s">
        <v>270</v>
      </c>
      <c r="E111" s="14" t="s">
        <v>271</v>
      </c>
      <c r="F111" s="32">
        <v>11.44</v>
      </c>
      <c r="G111" s="26">
        <v>5.46</v>
      </c>
      <c r="H111" s="26">
        <v>9.5</v>
      </c>
      <c r="I111" s="26">
        <v>0</v>
      </c>
      <c r="J111" s="26">
        <v>130</v>
      </c>
      <c r="K111" s="26">
        <v>2.99</v>
      </c>
      <c r="L111" s="26">
        <v>1.9</v>
      </c>
      <c r="M111" s="26">
        <v>0.96</v>
      </c>
      <c r="N111" s="26">
        <v>35</v>
      </c>
      <c r="O111" s="26">
        <v>126</v>
      </c>
      <c r="P111" s="26">
        <v>280</v>
      </c>
      <c r="Q111" s="26">
        <v>176</v>
      </c>
      <c r="R111" s="26">
        <v>0.6</v>
      </c>
      <c r="S111" s="38">
        <v>9.6000000000000002E-2</v>
      </c>
      <c r="T111" s="26">
        <v>0</v>
      </c>
      <c r="U111" s="26">
        <v>9.6999999999999993</v>
      </c>
      <c r="V111" s="26">
        <v>2</v>
      </c>
      <c r="W111" s="26">
        <v>1.78</v>
      </c>
      <c r="X111" s="26">
        <v>0</v>
      </c>
      <c r="Y111" s="26">
        <v>94</v>
      </c>
      <c r="Z111" s="26">
        <v>830</v>
      </c>
      <c r="AA111" s="26">
        <v>10</v>
      </c>
      <c r="AB111" s="38">
        <v>0.108</v>
      </c>
      <c r="AC111" s="38">
        <v>0.16800000000000001</v>
      </c>
      <c r="AD111" s="38">
        <v>3.7959999999999998</v>
      </c>
      <c r="AE111" s="38">
        <v>0</v>
      </c>
      <c r="AF111" s="38">
        <v>0.156</v>
      </c>
      <c r="AG111" s="38">
        <v>0.09</v>
      </c>
      <c r="AH111" s="38">
        <v>28.9</v>
      </c>
      <c r="AI111" s="38">
        <v>51.8</v>
      </c>
      <c r="AJ111" s="26">
        <v>29</v>
      </c>
      <c r="AK111" s="26">
        <v>39</v>
      </c>
      <c r="AL111" s="26">
        <v>0</v>
      </c>
      <c r="AM111" s="26">
        <v>0</v>
      </c>
      <c r="AN111" s="26">
        <v>0</v>
      </c>
      <c r="AO111" s="26">
        <v>0</v>
      </c>
      <c r="AP111" s="26">
        <v>0</v>
      </c>
      <c r="AQ111" s="26">
        <v>0</v>
      </c>
      <c r="AR111" s="26">
        <v>0</v>
      </c>
      <c r="AS111" s="26">
        <v>0</v>
      </c>
      <c r="AT111" s="26">
        <v>0</v>
      </c>
      <c r="AU111" s="26">
        <v>0</v>
      </c>
      <c r="AV111" s="26">
        <v>0</v>
      </c>
      <c r="AW111" s="26">
        <v>0</v>
      </c>
      <c r="AX111" s="26">
        <v>0</v>
      </c>
      <c r="AY111" s="26">
        <v>0</v>
      </c>
      <c r="AZ111" s="26">
        <v>0</v>
      </c>
      <c r="BA111" s="26">
        <v>0</v>
      </c>
      <c r="BB111" s="26">
        <v>0</v>
      </c>
      <c r="BC111" s="26">
        <v>0</v>
      </c>
      <c r="BD111" s="26">
        <v>0</v>
      </c>
      <c r="BE111" s="26">
        <v>0</v>
      </c>
      <c r="BF111" s="26">
        <v>27</v>
      </c>
      <c r="BG111" s="26">
        <v>2.7669999999999999</v>
      </c>
      <c r="BH111" s="26"/>
    </row>
    <row r="112" spans="1:60" ht="14.4">
      <c r="A112">
        <v>2</v>
      </c>
      <c r="B112" t="s">
        <v>272</v>
      </c>
      <c r="D112" s="8" t="s">
        <v>273</v>
      </c>
      <c r="F112">
        <f>SUM(F102:F111)/6</f>
        <v>10.249999999999998</v>
      </c>
      <c r="G112">
        <f t="shared" ref="G112:BG112" si="14">SUM(G102:G111)/6</f>
        <v>8.0299999999999994</v>
      </c>
      <c r="H112">
        <f t="shared" si="14"/>
        <v>14.596666666666669</v>
      </c>
      <c r="I112">
        <f t="shared" si="14"/>
        <v>0</v>
      </c>
      <c r="J112">
        <f t="shared" si="14"/>
        <v>168.16666666666666</v>
      </c>
      <c r="K112">
        <f t="shared" si="14"/>
        <v>93.391666666666666</v>
      </c>
      <c r="L112">
        <f t="shared" si="14"/>
        <v>1.5</v>
      </c>
      <c r="M112">
        <f t="shared" si="14"/>
        <v>0.79499999999999993</v>
      </c>
      <c r="N112">
        <f t="shared" si="14"/>
        <v>27.5</v>
      </c>
      <c r="O112">
        <f t="shared" si="14"/>
        <v>112.96</v>
      </c>
      <c r="P112">
        <f t="shared" si="14"/>
        <v>256.83333333333331</v>
      </c>
      <c r="Q112">
        <f t="shared" si="14"/>
        <v>215.83333333333334</v>
      </c>
      <c r="R112">
        <f t="shared" si="14"/>
        <v>0.94999999999999984</v>
      </c>
      <c r="S112" s="35">
        <f t="shared" si="14"/>
        <v>6.3166666666666663E-2</v>
      </c>
      <c r="T112">
        <f t="shared" si="14"/>
        <v>0</v>
      </c>
      <c r="U112">
        <f t="shared" si="14"/>
        <v>8.2999999999999989</v>
      </c>
      <c r="V112">
        <f t="shared" si="14"/>
        <v>54.333333333333336</v>
      </c>
      <c r="W112">
        <f t="shared" si="14"/>
        <v>1.2050000000000001</v>
      </c>
      <c r="X112">
        <f t="shared" si="14"/>
        <v>0</v>
      </c>
      <c r="Y112">
        <f t="shared" si="14"/>
        <v>47.166666666666664</v>
      </c>
      <c r="Z112">
        <f t="shared" si="14"/>
        <v>506</v>
      </c>
      <c r="AA112">
        <f t="shared" si="14"/>
        <v>10.866666666666669</v>
      </c>
      <c r="AB112" s="35">
        <f t="shared" si="14"/>
        <v>0.10483333333333333</v>
      </c>
      <c r="AC112" s="35">
        <f t="shared" si="14"/>
        <v>0.19316666666666668</v>
      </c>
      <c r="AD112" s="35">
        <f t="shared" si="14"/>
        <v>2.3151666666666664</v>
      </c>
      <c r="AE112" s="35">
        <f t="shared" si="14"/>
        <v>0</v>
      </c>
      <c r="AF112" s="35">
        <f t="shared" si="14"/>
        <v>0.13733333333333334</v>
      </c>
      <c r="AG112" s="35">
        <f t="shared" si="14"/>
        <v>0.36999999999999994</v>
      </c>
      <c r="AH112" s="35">
        <f t="shared" si="14"/>
        <v>30.533333333333335</v>
      </c>
      <c r="AI112" s="35">
        <f t="shared" si="14"/>
        <v>35.6</v>
      </c>
      <c r="AJ112">
        <f t="shared" si="14"/>
        <v>23.333333333333332</v>
      </c>
      <c r="AK112">
        <f t="shared" si="14"/>
        <v>32.666666666666664</v>
      </c>
      <c r="AL112">
        <f t="shared" si="14"/>
        <v>0</v>
      </c>
      <c r="AM112">
        <f t="shared" si="14"/>
        <v>0</v>
      </c>
      <c r="AN112">
        <f t="shared" si="14"/>
        <v>0</v>
      </c>
      <c r="AO112">
        <f t="shared" si="14"/>
        <v>0</v>
      </c>
      <c r="AP112">
        <f t="shared" si="14"/>
        <v>0</v>
      </c>
      <c r="AQ112">
        <f t="shared" si="14"/>
        <v>0</v>
      </c>
      <c r="AR112">
        <f t="shared" si="14"/>
        <v>0</v>
      </c>
      <c r="AS112">
        <f t="shared" si="14"/>
        <v>0</v>
      </c>
      <c r="AT112">
        <f t="shared" si="14"/>
        <v>0</v>
      </c>
      <c r="AU112">
        <f t="shared" si="14"/>
        <v>0</v>
      </c>
      <c r="AV112">
        <f t="shared" si="14"/>
        <v>0</v>
      </c>
      <c r="AW112">
        <f t="shared" si="14"/>
        <v>0</v>
      </c>
      <c r="AX112">
        <f t="shared" si="14"/>
        <v>0</v>
      </c>
      <c r="AY112">
        <f t="shared" si="14"/>
        <v>0</v>
      </c>
      <c r="AZ112">
        <f t="shared" si="14"/>
        <v>0</v>
      </c>
      <c r="BA112">
        <f t="shared" si="14"/>
        <v>0</v>
      </c>
      <c r="BB112">
        <f t="shared" si="14"/>
        <v>0</v>
      </c>
      <c r="BC112">
        <f t="shared" si="14"/>
        <v>0</v>
      </c>
      <c r="BD112">
        <f t="shared" si="14"/>
        <v>3.8333333333333335</v>
      </c>
      <c r="BE112">
        <f t="shared" si="14"/>
        <v>0.25833333333333336</v>
      </c>
      <c r="BF112">
        <f t="shared" si="14"/>
        <v>27.166666666666668</v>
      </c>
      <c r="BG112">
        <f t="shared" si="14"/>
        <v>2.6989999999999998</v>
      </c>
    </row>
    <row r="113" spans="1:59">
      <c r="F113">
        <v>10.28</v>
      </c>
      <c r="G113">
        <v>8.0299999999999994</v>
      </c>
      <c r="H113">
        <v>14.96</v>
      </c>
      <c r="I113">
        <v>0</v>
      </c>
      <c r="J113">
        <v>169.75</v>
      </c>
      <c r="K113">
        <v>93.63</v>
      </c>
      <c r="L113">
        <v>1.58</v>
      </c>
      <c r="M113">
        <v>0.81</v>
      </c>
      <c r="N113">
        <v>27.88</v>
      </c>
      <c r="O113">
        <v>114.38</v>
      </c>
      <c r="P113">
        <v>264.42</v>
      </c>
      <c r="Q113">
        <v>215.88</v>
      </c>
      <c r="R113">
        <v>0.96</v>
      </c>
      <c r="S113" s="35">
        <v>0.06</v>
      </c>
      <c r="T113">
        <v>0</v>
      </c>
      <c r="U113">
        <v>8.3000000000000007</v>
      </c>
      <c r="V113">
        <v>54.33</v>
      </c>
      <c r="W113">
        <v>1.21</v>
      </c>
      <c r="X113">
        <v>0</v>
      </c>
      <c r="Y113">
        <v>47.17</v>
      </c>
      <c r="Z113">
        <v>506.17</v>
      </c>
      <c r="AA113">
        <v>11.21</v>
      </c>
      <c r="AB113" s="35">
        <v>0.11</v>
      </c>
      <c r="AC113" s="35">
        <v>0.19</v>
      </c>
      <c r="AD113" s="35">
        <v>2.3199999999999998</v>
      </c>
      <c r="AE113" s="35">
        <v>0</v>
      </c>
      <c r="AF113" s="35">
        <v>0.14000000000000001</v>
      </c>
      <c r="AG113" s="35">
        <v>0.37</v>
      </c>
      <c r="AH113" s="35">
        <v>30.79</v>
      </c>
      <c r="AI113" s="35">
        <v>35.619999999999997</v>
      </c>
      <c r="AJ113">
        <v>24.125</v>
      </c>
      <c r="AK113">
        <v>33.46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3.83</v>
      </c>
      <c r="BE113">
        <v>0.26</v>
      </c>
      <c r="BF113">
        <v>27.17</v>
      </c>
      <c r="BG113">
        <v>2.7</v>
      </c>
    </row>
    <row r="114" spans="1:59">
      <c r="S114" s="35"/>
      <c r="AB114" s="35"/>
      <c r="AC114" s="35"/>
      <c r="AD114" s="35"/>
      <c r="AE114" s="35"/>
      <c r="AF114" s="35"/>
      <c r="AG114" s="35"/>
      <c r="AH114" s="35"/>
      <c r="AI114" s="35"/>
    </row>
    <row r="115" spans="1:59" s="44" customFormat="1" ht="15" customHeight="1">
      <c r="A115" s="98">
        <v>2706482</v>
      </c>
      <c r="B115" s="44" t="s">
        <v>259</v>
      </c>
      <c r="C115" s="77" t="s">
        <v>207</v>
      </c>
      <c r="D115" s="50" t="s">
        <v>322</v>
      </c>
      <c r="E115" s="98">
        <v>420</v>
      </c>
      <c r="F115" s="62">
        <v>8.74</v>
      </c>
      <c r="G115" s="46">
        <v>3.93</v>
      </c>
      <c r="H115" s="46">
        <v>10.67</v>
      </c>
      <c r="I115" s="44">
        <v>0</v>
      </c>
      <c r="J115" s="46">
        <v>115</v>
      </c>
      <c r="K115" s="46">
        <v>2.02</v>
      </c>
      <c r="L115" s="46">
        <v>0.04</v>
      </c>
      <c r="M115" s="46">
        <v>1.17</v>
      </c>
      <c r="N115" s="46">
        <v>11</v>
      </c>
      <c r="O115" s="46">
        <v>68</v>
      </c>
      <c r="P115" s="46">
        <v>114</v>
      </c>
      <c r="Q115" s="46">
        <v>274</v>
      </c>
      <c r="R115" s="46">
        <v>1.82</v>
      </c>
      <c r="S115" s="46">
        <v>0.05</v>
      </c>
      <c r="T115" s="46">
        <v>0</v>
      </c>
      <c r="U115" s="46">
        <v>9.4</v>
      </c>
      <c r="V115" s="46">
        <v>7</v>
      </c>
      <c r="W115" s="46">
        <v>0.17</v>
      </c>
      <c r="X115" s="46">
        <v>0</v>
      </c>
      <c r="Y115" s="46">
        <v>0</v>
      </c>
      <c r="Z115" s="46">
        <v>4</v>
      </c>
      <c r="AA115" s="46">
        <v>0.1</v>
      </c>
      <c r="AB115" s="46">
        <v>8.8999999999999996E-2</v>
      </c>
      <c r="AC115" s="46">
        <v>0.11</v>
      </c>
      <c r="AD115" s="46">
        <v>1.67</v>
      </c>
      <c r="AE115" s="46">
        <v>0</v>
      </c>
      <c r="AF115" s="46">
        <v>7.0000000000000007E-2</v>
      </c>
      <c r="AG115" s="46">
        <v>0.53</v>
      </c>
      <c r="AH115" s="46">
        <v>23.4</v>
      </c>
      <c r="AI115" s="46">
        <v>2.1</v>
      </c>
      <c r="AJ115" s="46">
        <v>2</v>
      </c>
      <c r="AK115" s="46">
        <v>20</v>
      </c>
      <c r="AL115" s="46">
        <v>0</v>
      </c>
      <c r="AM115" s="46">
        <v>0</v>
      </c>
      <c r="AN115" s="46">
        <v>0</v>
      </c>
      <c r="AO115" s="46">
        <v>0</v>
      </c>
      <c r="AP115" s="46">
        <v>0</v>
      </c>
      <c r="AQ115" s="46">
        <v>0</v>
      </c>
      <c r="AR115" s="46">
        <v>0</v>
      </c>
      <c r="AS115" s="46">
        <v>0</v>
      </c>
      <c r="AT115" s="46">
        <v>0</v>
      </c>
      <c r="AU115" s="46">
        <v>0</v>
      </c>
      <c r="AV115" s="46">
        <v>0</v>
      </c>
      <c r="AW115" s="46">
        <v>0</v>
      </c>
      <c r="AX115" s="46">
        <v>0</v>
      </c>
      <c r="AY115" s="46">
        <v>0</v>
      </c>
      <c r="AZ115" s="46">
        <v>0</v>
      </c>
      <c r="BA115" s="46">
        <v>0</v>
      </c>
      <c r="BB115" s="46">
        <v>0</v>
      </c>
      <c r="BC115" s="46">
        <v>0</v>
      </c>
      <c r="BD115" s="46">
        <v>23</v>
      </c>
      <c r="BE115" s="46">
        <v>1.55</v>
      </c>
      <c r="BF115" s="44" t="str">
        <f t="shared" ref="BF115" si="15">"new food('"&amp;B115&amp;"','"&amp;C115&amp;"','"&amp;D115&amp;"','"&amp;E115&amp;"','"&amp;F115&amp;"','"&amp;G115&amp;"','"&amp;H115&amp;"','"&amp;I115&amp;"','"&amp;J115&amp;"','"&amp;K115&amp;"','"&amp;L115&amp;"','"&amp;M115&amp;"','"&amp;N115&amp;"','"&amp;O115&amp;"','"&amp;P115&amp;"','"&amp;Q115&amp;"','"&amp;R115&amp;"','"&amp;S115&amp;"','"&amp;T115&amp;"','"&amp;U115&amp;"','"&amp;V115&amp;"','"&amp;W115&amp;"','"&amp;X115&amp;"','"&amp;Y115&amp;"','"&amp;Z115&amp;"','"&amp;AA115&amp;"','"&amp;AB115&amp;"','"&amp;AC115&amp;"','"&amp;AD115&amp;"','"&amp;AE115&amp;"','"&amp;AF115&amp;"','"&amp;AG115&amp;"','"&amp;AH115&amp;"','"&amp;AI115&amp;"','"&amp;AJ115&amp;"','"&amp;AK115&amp;"','"&amp;AL115&amp;"','"&amp;AM115&amp;"','"&amp;AN115&amp;"','"&amp;AO115&amp;"','"&amp;AP115&amp;"','"&amp;AQ115&amp;"','"&amp;AR115&amp;"','"&amp;AS115&amp;"','"&amp;AT115&amp;"','"&amp;AU115&amp;"','"&amp;AV115&amp;"','"&amp;AW115&amp;"','"&amp;AX115&amp;"','"&amp;AY115&amp;"','"&amp;AZ115&amp;"','"&amp;BA115&amp;"','"&amp;BB115&amp;"','"&amp;BC115&amp;"','"&amp;BD115&amp;"','"&amp;BE115&amp;"'),"</f>
        <v>new food('Beef ground 90percent lean','Entre','1 lb','420','8.74','3.93','10.67','0','115','2.02','0.04','1.17','11','68','114','274','1.82','0.05','0','9.4','7','0.17','0','0','4','0.1','0.089','0.11','1.67','0','0.07','0.53','23.4','2.1','2','20','0','0','0','0','0','0','0','0','0','0','0','0','0','0','0','0','0','0','23','1.55'),</v>
      </c>
    </row>
    <row r="116" spans="1:59">
      <c r="S116" s="35"/>
      <c r="AB116" s="35"/>
      <c r="AC116" s="35"/>
      <c r="AD116" s="35"/>
      <c r="AE116" s="35"/>
      <c r="AF116" s="35"/>
      <c r="AG116" s="35"/>
      <c r="AH116" s="35"/>
      <c r="AI116" s="35"/>
    </row>
    <row r="120" spans="1:59">
      <c r="A120" t="s">
        <v>380</v>
      </c>
    </row>
    <row r="121" spans="1:59" s="44" customFormat="1" ht="15.75" customHeight="1">
      <c r="A121" s="98">
        <v>172883</v>
      </c>
      <c r="B121" s="44" t="s">
        <v>309</v>
      </c>
      <c r="C121" s="50" t="s">
        <v>311</v>
      </c>
      <c r="D121" s="58" t="s">
        <v>221</v>
      </c>
      <c r="E121" s="98">
        <v>240</v>
      </c>
      <c r="F121" s="62">
        <v>1.97</v>
      </c>
      <c r="G121" s="46">
        <v>0.09</v>
      </c>
      <c r="H121" s="46">
        <v>1.2</v>
      </c>
      <c r="I121" s="46">
        <v>0</v>
      </c>
      <c r="J121" s="46">
        <v>13</v>
      </c>
      <c r="K121" s="46">
        <v>0.54</v>
      </c>
      <c r="L121" s="46">
        <v>0</v>
      </c>
      <c r="M121" s="46">
        <v>0.27</v>
      </c>
      <c r="N121" s="46">
        <v>7</v>
      </c>
      <c r="O121" s="46">
        <v>31</v>
      </c>
      <c r="P121" s="46">
        <v>185</v>
      </c>
      <c r="Q121" s="46">
        <v>198</v>
      </c>
      <c r="R121" s="46">
        <v>0.17</v>
      </c>
      <c r="S121" s="46">
        <v>0.05</v>
      </c>
      <c r="T121" s="46">
        <v>0</v>
      </c>
      <c r="U121" s="46">
        <v>1.2</v>
      </c>
      <c r="V121" s="46">
        <v>0</v>
      </c>
      <c r="W121" s="46">
        <v>0.01</v>
      </c>
      <c r="X121" s="46">
        <v>0</v>
      </c>
      <c r="Y121" s="46">
        <v>0</v>
      </c>
      <c r="Z121" s="46">
        <v>1</v>
      </c>
      <c r="AA121" s="46">
        <v>0</v>
      </c>
      <c r="AB121" s="46">
        <v>3.3000000000000002E-2</v>
      </c>
      <c r="AC121" s="46">
        <v>9.0999999999999998E-2</v>
      </c>
      <c r="AD121" s="46">
        <v>0.872</v>
      </c>
      <c r="AE121" s="46">
        <v>0</v>
      </c>
      <c r="AF121" s="46">
        <v>5.5E-2</v>
      </c>
      <c r="AG121" s="46">
        <v>0</v>
      </c>
      <c r="AH121" s="46">
        <v>4.8</v>
      </c>
      <c r="AI121" s="46">
        <v>0.1</v>
      </c>
      <c r="AJ121" s="46">
        <v>2</v>
      </c>
      <c r="AK121" s="46">
        <v>2</v>
      </c>
      <c r="AL121" s="46">
        <v>0</v>
      </c>
      <c r="AM121" s="46">
        <v>0</v>
      </c>
      <c r="AN121" s="46">
        <v>0</v>
      </c>
      <c r="AO121" s="46">
        <v>0</v>
      </c>
      <c r="AP121" s="46">
        <v>0</v>
      </c>
      <c r="AQ121" s="46">
        <v>0</v>
      </c>
      <c r="AR121" s="46">
        <v>0</v>
      </c>
      <c r="AS121" s="46">
        <v>0</v>
      </c>
      <c r="AT121" s="46">
        <v>0</v>
      </c>
      <c r="AU121" s="46">
        <v>0</v>
      </c>
      <c r="AV121" s="46">
        <v>0</v>
      </c>
      <c r="AW121" s="46">
        <v>0</v>
      </c>
      <c r="AX121" s="46">
        <v>0</v>
      </c>
      <c r="AY121" s="46">
        <v>0</v>
      </c>
      <c r="AZ121" s="46">
        <v>0</v>
      </c>
      <c r="BA121" s="46">
        <v>0</v>
      </c>
      <c r="BB121" s="46">
        <v>0</v>
      </c>
      <c r="BC121" s="46">
        <v>0</v>
      </c>
      <c r="BD121" s="46">
        <v>0</v>
      </c>
      <c r="BE121" s="46">
        <v>4.2999999999999997E-2</v>
      </c>
      <c r="BF121" s="44" t="str">
        <f>"new food('"&amp;B121&amp;"','"&amp;C121&amp;"','"&amp;D121&amp;"','"&amp;E121&amp;"','"&amp;F121&amp;"','"&amp;G121&amp;"','"&amp;H121&amp;"','"&amp;I121&amp;"','"&amp;J121&amp;"','"&amp;K121&amp;"','"&amp;L121&amp;"','"&amp;M121&amp;"','"&amp;N121&amp;"','"&amp;O121&amp;"','"&amp;P121&amp;"','"&amp;Q121&amp;"','"&amp;R121&amp;"','"&amp;S121&amp;"','"&amp;T121&amp;"','"&amp;U121&amp;"','"&amp;V121&amp;"','"&amp;W121&amp;"','"&amp;X121&amp;"','"&amp;Y121&amp;"','"&amp;Z121&amp;"','"&amp;AA121&amp;"','"&amp;AB121&amp;"','"&amp;AC121&amp;"','"&amp;AD121&amp;"','"&amp;AE121&amp;"','"&amp;AF121&amp;"','"&amp;AG121&amp;"','"&amp;AH121&amp;"','"&amp;AI121&amp;"','"&amp;AJ121&amp;"','"&amp;AK121&amp;"','"&amp;AL121&amp;"','"&amp;AM121&amp;"','"&amp;AN121&amp;"','"&amp;AO121&amp;"','"&amp;AP121&amp;"','"&amp;AQ121&amp;"','"&amp;AR121&amp;"','"&amp;AS121&amp;"','"&amp;AT121&amp;"','"&amp;AU121&amp;"','"&amp;AV121&amp;"','"&amp;AW121&amp;"','"&amp;AX121&amp;"','"&amp;AY121&amp;"','"&amp;AZ121&amp;"','"&amp;BA121&amp;"','"&amp;BB121&amp;"','"&amp;BC121&amp;"','"&amp;BD121&amp;"','"&amp;BE121&amp;"'),"</f>
        <v>new food('Soup stock beef','Ingred','1 cup','240','1.97','0.09','1.2','0','13','0.54','0','0.27','7','31','185','198','0.17','0.05','0','1.2','0','0.01','0','0','1','0','0.033','0.091','0.872','0','0.055','0','4.8','0.1','2','2','0','0','0','0','0','0','0','0','0','0','0','0','0','0','0','0','0','0','0','0.043'),</v>
      </c>
    </row>
    <row r="122" spans="1:59" s="44" customFormat="1" ht="15.75" customHeight="1">
      <c r="A122" s="98">
        <v>172883</v>
      </c>
      <c r="B122" s="44" t="s">
        <v>309</v>
      </c>
      <c r="C122" s="50" t="s">
        <v>311</v>
      </c>
      <c r="D122" s="58" t="s">
        <v>221</v>
      </c>
      <c r="E122" s="98">
        <v>240</v>
      </c>
      <c r="F122" s="62">
        <v>1.97</v>
      </c>
      <c r="G122" s="46">
        <v>0.09</v>
      </c>
      <c r="H122" s="46">
        <v>1.2</v>
      </c>
      <c r="I122" s="46">
        <v>0</v>
      </c>
      <c r="J122" s="46">
        <v>13</v>
      </c>
      <c r="K122" s="46">
        <v>0.54</v>
      </c>
      <c r="L122" s="46">
        <v>0</v>
      </c>
      <c r="M122" s="46">
        <v>0.27</v>
      </c>
      <c r="N122" s="46">
        <v>7</v>
      </c>
      <c r="O122" s="46">
        <v>31</v>
      </c>
      <c r="P122" s="46">
        <v>185</v>
      </c>
      <c r="Q122" s="46">
        <v>198</v>
      </c>
      <c r="R122" s="46">
        <v>0.17</v>
      </c>
      <c r="S122" s="46">
        <v>0.05</v>
      </c>
      <c r="T122" s="46">
        <v>0</v>
      </c>
      <c r="U122" s="46">
        <v>1.2</v>
      </c>
      <c r="V122" s="46">
        <v>0</v>
      </c>
      <c r="W122" s="46">
        <v>0.01</v>
      </c>
      <c r="X122" s="46">
        <v>0</v>
      </c>
      <c r="Y122" s="46">
        <v>0</v>
      </c>
      <c r="Z122" s="46">
        <v>1</v>
      </c>
      <c r="AA122" s="46">
        <v>0</v>
      </c>
      <c r="AB122" s="46">
        <v>3.3000000000000002E-2</v>
      </c>
      <c r="AC122" s="46">
        <v>9.0999999999999998E-2</v>
      </c>
      <c r="AD122" s="46">
        <v>0.872</v>
      </c>
      <c r="AE122" s="46">
        <v>0</v>
      </c>
      <c r="AF122" s="46">
        <v>5.5E-2</v>
      </c>
      <c r="AG122" s="46">
        <v>0</v>
      </c>
      <c r="AH122" s="46">
        <v>4.8</v>
      </c>
      <c r="AI122" s="46">
        <v>0.1</v>
      </c>
      <c r="AJ122" s="46">
        <v>2</v>
      </c>
      <c r="AK122" s="46">
        <v>2</v>
      </c>
      <c r="AL122" s="46">
        <v>0</v>
      </c>
      <c r="AM122" s="46">
        <v>0</v>
      </c>
      <c r="AN122" s="46">
        <v>0</v>
      </c>
      <c r="AO122" s="46">
        <v>0</v>
      </c>
      <c r="AP122" s="46">
        <v>0</v>
      </c>
      <c r="AQ122" s="46">
        <v>0</v>
      </c>
      <c r="AR122" s="46">
        <v>0</v>
      </c>
      <c r="AS122" s="46">
        <v>0</v>
      </c>
      <c r="AT122" s="46">
        <v>0</v>
      </c>
      <c r="AU122" s="46">
        <v>0</v>
      </c>
      <c r="AV122" s="46">
        <v>0</v>
      </c>
      <c r="AW122" s="46">
        <v>0</v>
      </c>
      <c r="AX122" s="46">
        <v>0</v>
      </c>
      <c r="AY122" s="46">
        <v>0</v>
      </c>
      <c r="AZ122" s="46">
        <v>0</v>
      </c>
      <c r="BA122" s="46">
        <v>0</v>
      </c>
      <c r="BB122" s="46">
        <v>0</v>
      </c>
      <c r="BC122" s="46">
        <v>0</v>
      </c>
      <c r="BD122" s="46">
        <v>0</v>
      </c>
      <c r="BE122" s="46">
        <v>4.2999999999999997E-2</v>
      </c>
      <c r="BF122" s="44" t="str">
        <f>"new food('"&amp;B122&amp;"','"&amp;C122&amp;"','"&amp;D122&amp;"','"&amp;E122&amp;"','"&amp;F122&amp;"','"&amp;G122&amp;"','"&amp;H122&amp;"','"&amp;I122&amp;"','"&amp;J122&amp;"','"&amp;K122&amp;"','"&amp;L122&amp;"','"&amp;M122&amp;"','"&amp;N122&amp;"','"&amp;O122&amp;"','"&amp;P122&amp;"','"&amp;Q122&amp;"','"&amp;R122&amp;"','"&amp;S122&amp;"','"&amp;T122&amp;"','"&amp;U122&amp;"','"&amp;V122&amp;"','"&amp;W122&amp;"','"&amp;X122&amp;"','"&amp;Y122&amp;"','"&amp;Z122&amp;"','"&amp;AA122&amp;"','"&amp;AB122&amp;"','"&amp;AC122&amp;"','"&amp;AD122&amp;"','"&amp;AE122&amp;"','"&amp;AF122&amp;"','"&amp;AG122&amp;"','"&amp;AH122&amp;"','"&amp;AI122&amp;"','"&amp;AJ122&amp;"','"&amp;AK122&amp;"','"&amp;AL122&amp;"','"&amp;AM122&amp;"','"&amp;AN122&amp;"','"&amp;AO122&amp;"','"&amp;AP122&amp;"','"&amp;AQ122&amp;"','"&amp;AR122&amp;"','"&amp;AS122&amp;"','"&amp;AT122&amp;"','"&amp;AU122&amp;"','"&amp;AV122&amp;"','"&amp;AW122&amp;"','"&amp;AX122&amp;"','"&amp;AY122&amp;"','"&amp;AZ122&amp;"','"&amp;BA122&amp;"','"&amp;BB122&amp;"','"&amp;BC122&amp;"','"&amp;BD122&amp;"','"&amp;BE122&amp;"'),"</f>
        <v>new food('Soup stock beef','Ingred','1 cup','240','1.97','0.09','1.2','0','13','0.54','0','0.27','7','31','185','198','0.17','0.05','0','1.2','0','0.01','0','0','1','0','0.033','0.091','0.872','0','0.055','0','4.8','0.1','2','2','0','0','0','0','0','0','0','0','0','0','0','0','0','0','0','0','0','0','0','0.043'),</v>
      </c>
    </row>
    <row r="123" spans="1:59" s="44" customFormat="1" ht="15.75" customHeight="1">
      <c r="A123" s="98">
        <v>172883</v>
      </c>
      <c r="B123" s="44" t="s">
        <v>309</v>
      </c>
      <c r="C123" s="50" t="s">
        <v>311</v>
      </c>
      <c r="D123" s="58" t="s">
        <v>221</v>
      </c>
      <c r="E123" s="98">
        <v>240</v>
      </c>
      <c r="F123" s="62">
        <v>1.97</v>
      </c>
      <c r="G123" s="46">
        <v>0.09</v>
      </c>
      <c r="H123" s="46">
        <v>1.2</v>
      </c>
      <c r="I123" s="46">
        <v>0</v>
      </c>
      <c r="J123" s="46">
        <v>13</v>
      </c>
      <c r="K123" s="46">
        <v>0.54</v>
      </c>
      <c r="L123" s="46">
        <v>0</v>
      </c>
      <c r="M123" s="46">
        <v>0.27</v>
      </c>
      <c r="N123" s="46">
        <v>7</v>
      </c>
      <c r="O123" s="46">
        <v>31</v>
      </c>
      <c r="P123" s="46">
        <v>185</v>
      </c>
      <c r="Q123" s="46">
        <v>198</v>
      </c>
      <c r="R123" s="46">
        <v>0.17</v>
      </c>
      <c r="S123" s="46">
        <v>0.05</v>
      </c>
      <c r="T123" s="46">
        <v>0</v>
      </c>
      <c r="U123" s="46">
        <v>1.2</v>
      </c>
      <c r="V123" s="46">
        <v>0</v>
      </c>
      <c r="W123" s="46">
        <v>0.01</v>
      </c>
      <c r="X123" s="46">
        <v>0</v>
      </c>
      <c r="Y123" s="46">
        <v>0</v>
      </c>
      <c r="Z123" s="46">
        <v>1</v>
      </c>
      <c r="AA123" s="46">
        <v>0</v>
      </c>
      <c r="AB123" s="46">
        <v>3.3000000000000002E-2</v>
      </c>
      <c r="AC123" s="46">
        <v>9.0999999999999998E-2</v>
      </c>
      <c r="AD123" s="46">
        <v>0.872</v>
      </c>
      <c r="AE123" s="46">
        <v>0</v>
      </c>
      <c r="AF123" s="46">
        <v>5.5E-2</v>
      </c>
      <c r="AG123" s="46">
        <v>0</v>
      </c>
      <c r="AH123" s="46">
        <v>4.8</v>
      </c>
      <c r="AI123" s="46">
        <v>0.1</v>
      </c>
      <c r="AJ123" s="46">
        <v>2</v>
      </c>
      <c r="AK123" s="46">
        <v>2</v>
      </c>
      <c r="AL123" s="46">
        <v>0</v>
      </c>
      <c r="AM123" s="46">
        <v>0</v>
      </c>
      <c r="AN123" s="46">
        <v>0</v>
      </c>
      <c r="AO123" s="46">
        <v>0</v>
      </c>
      <c r="AP123" s="46">
        <v>0</v>
      </c>
      <c r="AQ123" s="46">
        <v>0</v>
      </c>
      <c r="AR123" s="46">
        <v>0</v>
      </c>
      <c r="AS123" s="46">
        <v>0</v>
      </c>
      <c r="AT123" s="46">
        <v>0</v>
      </c>
      <c r="AU123" s="46">
        <v>0</v>
      </c>
      <c r="AV123" s="46">
        <v>0</v>
      </c>
      <c r="AW123" s="46">
        <v>0</v>
      </c>
      <c r="AX123" s="46">
        <v>0</v>
      </c>
      <c r="AY123" s="46">
        <v>0</v>
      </c>
      <c r="AZ123" s="46">
        <v>0</v>
      </c>
      <c r="BA123" s="46">
        <v>0</v>
      </c>
      <c r="BB123" s="46">
        <v>0</v>
      </c>
      <c r="BC123" s="46">
        <v>0</v>
      </c>
      <c r="BD123" s="46">
        <v>0</v>
      </c>
      <c r="BE123" s="46">
        <v>4.2999999999999997E-2</v>
      </c>
      <c r="BF123" s="44" t="str">
        <f>"new food('"&amp;B123&amp;"','"&amp;C123&amp;"','"&amp;D123&amp;"','"&amp;E123&amp;"','"&amp;F123&amp;"','"&amp;G123&amp;"','"&amp;H123&amp;"','"&amp;I123&amp;"','"&amp;J123&amp;"','"&amp;K123&amp;"','"&amp;L123&amp;"','"&amp;M123&amp;"','"&amp;N123&amp;"','"&amp;O123&amp;"','"&amp;P123&amp;"','"&amp;Q123&amp;"','"&amp;R123&amp;"','"&amp;S123&amp;"','"&amp;T123&amp;"','"&amp;U123&amp;"','"&amp;V123&amp;"','"&amp;W123&amp;"','"&amp;X123&amp;"','"&amp;Y123&amp;"','"&amp;Z123&amp;"','"&amp;AA123&amp;"','"&amp;AB123&amp;"','"&amp;AC123&amp;"','"&amp;AD123&amp;"','"&amp;AE123&amp;"','"&amp;AF123&amp;"','"&amp;AG123&amp;"','"&amp;AH123&amp;"','"&amp;AI123&amp;"','"&amp;AJ123&amp;"','"&amp;AK123&amp;"','"&amp;AL123&amp;"','"&amp;AM123&amp;"','"&amp;AN123&amp;"','"&amp;AO123&amp;"','"&amp;AP123&amp;"','"&amp;AQ123&amp;"','"&amp;AR123&amp;"','"&amp;AS123&amp;"','"&amp;AT123&amp;"','"&amp;AU123&amp;"','"&amp;AV123&amp;"','"&amp;AW123&amp;"','"&amp;AX123&amp;"','"&amp;AY123&amp;"','"&amp;AZ123&amp;"','"&amp;BA123&amp;"','"&amp;BB123&amp;"','"&amp;BC123&amp;"','"&amp;BD123&amp;"','"&amp;BE123&amp;"'),"</f>
        <v>new food('Soup stock beef','Ingred','1 cup','240','1.97','0.09','1.2','0','13','0.54','0','0.27','7','31','185','198','0.17','0.05','0','1.2','0','0.01','0','0','1','0','0.033','0.091','0.872','0','0.055','0','4.8','0.1','2','2','0','0','0','0','0','0','0','0','0','0','0','0','0','0','0','0','0','0','0','0.043'),</v>
      </c>
    </row>
    <row r="124" spans="1:59" s="44" customFormat="1" ht="15" customHeight="1">
      <c r="A124" s="97">
        <v>169732</v>
      </c>
      <c r="B124" s="61" t="s">
        <v>98</v>
      </c>
      <c r="C124" s="50" t="s">
        <v>343</v>
      </c>
      <c r="D124" s="60" t="s">
        <v>221</v>
      </c>
      <c r="E124" s="97">
        <v>160</v>
      </c>
      <c r="F124" s="56">
        <v>4.54</v>
      </c>
      <c r="G124" s="63">
        <v>2.0699999999999998</v>
      </c>
      <c r="H124" s="57">
        <v>25.16</v>
      </c>
      <c r="I124" s="61">
        <v>0.5</v>
      </c>
      <c r="J124" s="56">
        <v>138</v>
      </c>
      <c r="K124" s="56">
        <v>0.4</v>
      </c>
      <c r="L124" s="56">
        <v>1.2</v>
      </c>
      <c r="M124" s="61">
        <v>1.47</v>
      </c>
      <c r="N124" s="63">
        <v>21</v>
      </c>
      <c r="O124" s="63">
        <v>76</v>
      </c>
      <c r="P124" s="63">
        <v>38</v>
      </c>
      <c r="Q124" s="63">
        <v>5</v>
      </c>
      <c r="R124" s="61">
        <v>0.65</v>
      </c>
      <c r="S124" s="56">
        <v>9.8000000000000004E-2</v>
      </c>
      <c r="T124" s="63">
        <v>0.315</v>
      </c>
      <c r="U124" s="63">
        <v>23.9</v>
      </c>
      <c r="V124" s="63">
        <v>0</v>
      </c>
      <c r="W124" s="61">
        <v>0.17</v>
      </c>
      <c r="X124" s="61">
        <v>4</v>
      </c>
      <c r="Y124" s="57">
        <v>0</v>
      </c>
      <c r="Z124" s="63">
        <v>38</v>
      </c>
      <c r="AA124" s="63">
        <v>0</v>
      </c>
      <c r="AB124" s="63">
        <v>0.28899999999999998</v>
      </c>
      <c r="AC124" s="63">
        <v>0.13600000000000001</v>
      </c>
      <c r="AD124" s="56">
        <v>2.077</v>
      </c>
      <c r="AE124" s="56">
        <v>0.26300000000000001</v>
      </c>
      <c r="AF124" s="56">
        <v>4.5999999999999999E-2</v>
      </c>
      <c r="AG124" s="56">
        <v>0.09</v>
      </c>
      <c r="AH124" s="61">
        <v>25.7</v>
      </c>
      <c r="AI124" s="63">
        <v>0</v>
      </c>
      <c r="AJ124" s="63">
        <v>12</v>
      </c>
      <c r="AK124" s="61">
        <v>84</v>
      </c>
      <c r="AL124" s="61">
        <v>19.2</v>
      </c>
      <c r="AM124" s="56">
        <v>4.2999999999999997E-2</v>
      </c>
      <c r="AN124" s="56">
        <v>0.13800000000000001</v>
      </c>
      <c r="AO124" s="56">
        <v>0.19</v>
      </c>
      <c r="AP124" s="57">
        <v>0.36499999999999999</v>
      </c>
      <c r="AQ124" s="56">
        <v>0.13700000000000001</v>
      </c>
      <c r="AR124" s="56">
        <v>8.5999999999999993E-2</v>
      </c>
      <c r="AS124" s="63">
        <v>9.6000000000000002E-2</v>
      </c>
      <c r="AT124" s="56">
        <v>0.24</v>
      </c>
      <c r="AU124" s="56">
        <v>9.4E-2</v>
      </c>
      <c r="AV124" s="56">
        <v>0.22</v>
      </c>
      <c r="AW124" s="63">
        <v>0.192</v>
      </c>
      <c r="AX124" s="57">
        <v>0.16500000000000001</v>
      </c>
      <c r="AY124" s="57">
        <v>0.24399999999999999</v>
      </c>
      <c r="AZ124" s="61">
        <v>1.468</v>
      </c>
      <c r="BA124" s="63">
        <v>0.159</v>
      </c>
      <c r="BB124" s="56">
        <v>0.495</v>
      </c>
      <c r="BC124" s="56">
        <v>0.25700000000000001</v>
      </c>
      <c r="BD124" s="63">
        <v>29</v>
      </c>
      <c r="BE124" s="61">
        <v>0.58099999999999996</v>
      </c>
      <c r="BF124" s="44" t="str">
        <f t="shared" ref="BF124" si="16">"new food('"&amp;B124&amp;"','"&amp;C124&amp;"','"&amp;D124&amp;"','"&amp;E124&amp;"','"&amp;F124&amp;"','"&amp;G124&amp;"','"&amp;H124&amp;"','"&amp;I124&amp;"','"&amp;J124&amp;"','"&amp;K124&amp;"','"&amp;L124&amp;"','"&amp;M124&amp;"','"&amp;N124&amp;"','"&amp;O124&amp;"','"&amp;P124&amp;"','"&amp;Q124&amp;"','"&amp;R124&amp;"','"&amp;S124&amp;"','"&amp;T124&amp;"','"&amp;U124&amp;"','"&amp;V124&amp;"','"&amp;W124&amp;"','"&amp;X124&amp;"','"&amp;Y124&amp;"','"&amp;Z124&amp;"','"&amp;AA124&amp;"','"&amp;AB124&amp;"','"&amp;AC124&amp;"','"&amp;AD124&amp;"','"&amp;AE124&amp;"','"&amp;AF124&amp;"','"&amp;AG124&amp;"','"&amp;AH124&amp;"','"&amp;AI124&amp;"','"&amp;AJ124&amp;"','"&amp;AK124&amp;"','"&amp;AL124&amp;"','"&amp;AM124&amp;"','"&amp;AN124&amp;"','"&amp;AO124&amp;"','"&amp;AP124&amp;"','"&amp;AQ124&amp;"','"&amp;AR124&amp;"','"&amp;AS124&amp;"','"&amp;AT124&amp;"','"&amp;AU124&amp;"','"&amp;AV124&amp;"','"&amp;AW124&amp;"','"&amp;AX124&amp;"','"&amp;AY124&amp;"','"&amp;AZ124&amp;"','"&amp;BA124&amp;"','"&amp;BB124&amp;"','"&amp;BC124&amp;"','"&amp;BD124&amp;"','"&amp;BE124&amp;"'),"</f>
        <v>new food('Noodles egg enriched','Side 1','1 cup','160','4.54','2.07','25.16','0.5','138','0.4','1.2','1.47','21','76','38','5','0.65','0.098','0.315','23.9','0','0.17','4','0','38','0','0.289','0.136','2.077','0.263','0.046','0.09','25.7','0','12','84','19.2','0.043','0.138','0.19','0.365','0.137','0.086','0.096','0.24','0.094','0.22','0.192','0.165','0.244','1.468','0.159','0.495','0.257','29','0.581'),</v>
      </c>
    </row>
    <row r="125" spans="1:59" s="44" customFormat="1" ht="15" customHeight="1">
      <c r="A125" s="100">
        <v>2345539</v>
      </c>
      <c r="B125" s="64" t="s">
        <v>312</v>
      </c>
      <c r="C125" s="85" t="s">
        <v>311</v>
      </c>
      <c r="D125" s="58"/>
      <c r="E125" s="98">
        <v>25</v>
      </c>
      <c r="F125" s="62">
        <v>2.81</v>
      </c>
      <c r="G125" s="46">
        <v>4.7</v>
      </c>
      <c r="H125" s="46">
        <v>12.09</v>
      </c>
      <c r="I125" s="46">
        <v>0</v>
      </c>
      <c r="J125" s="46">
        <v>96</v>
      </c>
      <c r="K125" s="46">
        <v>4.8600000000000003</v>
      </c>
      <c r="L125" s="69">
        <v>3.2</v>
      </c>
      <c r="M125" s="69">
        <v>0.82</v>
      </c>
      <c r="N125" s="69">
        <v>26</v>
      </c>
      <c r="O125" s="46">
        <v>66</v>
      </c>
      <c r="P125" s="46">
        <v>256</v>
      </c>
      <c r="Q125" s="46">
        <v>224</v>
      </c>
      <c r="R125" s="46">
        <v>0.54</v>
      </c>
      <c r="S125" s="46">
        <v>8.5000000000000006E-2</v>
      </c>
      <c r="T125" s="46">
        <v>0</v>
      </c>
      <c r="U125" s="46">
        <v>0.8</v>
      </c>
      <c r="V125" s="46">
        <v>18</v>
      </c>
      <c r="W125" s="46">
        <v>0.87</v>
      </c>
      <c r="X125" s="46">
        <v>0</v>
      </c>
      <c r="Y125" s="46">
        <v>26</v>
      </c>
      <c r="Z125" s="46">
        <v>936</v>
      </c>
      <c r="AA125" s="46">
        <v>13.6</v>
      </c>
      <c r="AB125" s="46">
        <v>0.125</v>
      </c>
      <c r="AC125" s="46">
        <v>8.2000000000000003E-2</v>
      </c>
      <c r="AD125" s="46">
        <v>1.2909999999999999</v>
      </c>
      <c r="AE125" s="46">
        <v>0</v>
      </c>
      <c r="AF125" s="46">
        <v>0.14599999999999999</v>
      </c>
      <c r="AG125" s="69">
        <v>0</v>
      </c>
      <c r="AH125" s="69">
        <v>18.8</v>
      </c>
      <c r="AI125" s="69">
        <v>23.7</v>
      </c>
      <c r="AJ125" s="46">
        <v>33</v>
      </c>
      <c r="AK125" s="69">
        <v>33</v>
      </c>
      <c r="AL125" s="69">
        <v>0</v>
      </c>
      <c r="AM125" s="69">
        <v>0</v>
      </c>
      <c r="AN125" s="46">
        <v>0</v>
      </c>
      <c r="AO125" s="46">
        <v>0</v>
      </c>
      <c r="AP125" s="46">
        <v>0</v>
      </c>
      <c r="AQ125" s="46">
        <v>0</v>
      </c>
      <c r="AR125" s="46">
        <v>0</v>
      </c>
      <c r="AS125" s="46">
        <v>0</v>
      </c>
      <c r="AT125" s="46">
        <v>0</v>
      </c>
      <c r="AU125" s="46">
        <v>0</v>
      </c>
      <c r="AV125" s="46">
        <v>0</v>
      </c>
      <c r="AW125" s="46">
        <v>0</v>
      </c>
      <c r="AX125" s="46">
        <v>0</v>
      </c>
      <c r="AY125" s="46">
        <v>0</v>
      </c>
      <c r="AZ125" s="46">
        <v>0</v>
      </c>
      <c r="BA125" s="46">
        <v>0</v>
      </c>
      <c r="BB125" s="46">
        <v>0</v>
      </c>
      <c r="BC125" s="46">
        <v>0</v>
      </c>
      <c r="BD125" s="69">
        <v>3</v>
      </c>
      <c r="BE125" s="46">
        <v>1.546</v>
      </c>
      <c r="BF125" s="44" t="str">
        <f>"new food('"&amp;B125&amp;"','"&amp;C125&amp;"','"&amp;D125&amp;"','"&amp;E125&amp;"','"&amp;F125&amp;"','"&amp;G125&amp;"','"&amp;H125&amp;"','"&amp;I125&amp;"','"&amp;J125&amp;"','"&amp;K125&amp;"','"&amp;L125&amp;"','"&amp;M125&amp;"','"&amp;N125&amp;"','"&amp;O125&amp;"','"&amp;P125&amp;"','"&amp;Q125&amp;"','"&amp;R125&amp;"','"&amp;S125&amp;"','"&amp;T125&amp;"','"&amp;U125&amp;"','"&amp;V125&amp;"','"&amp;W125&amp;"','"&amp;X125&amp;"','"&amp;Y125&amp;"','"&amp;Z125&amp;"','"&amp;AA125&amp;"','"&amp;AB125&amp;"','"&amp;AC125&amp;"','"&amp;AD125&amp;"','"&amp;AE125&amp;"','"&amp;AF125&amp;"','"&amp;AG125&amp;"','"&amp;AH125&amp;"','"&amp;AI125&amp;"','"&amp;AJ125&amp;"','"&amp;AK125&amp;"','"&amp;AL125&amp;"','"&amp;AM125&amp;"','"&amp;AN125&amp;"','"&amp;AO125&amp;"','"&amp;AP125&amp;"','"&amp;AQ125&amp;"','"&amp;AR125&amp;"','"&amp;AS125&amp;"','"&amp;AT125&amp;"','"&amp;AU125&amp;"','"&amp;AV125&amp;"','"&amp;AW125&amp;"','"&amp;AX125&amp;"','"&amp;AY125&amp;"','"&amp;AZ125&amp;"','"&amp;BA125&amp;"','"&amp;BB125&amp;"','"&amp;BC125&amp;"','"&amp;BD125&amp;"','"&amp;BE125&amp;"'),"</f>
        <v>new food('Carrots fresh cooked','Ingred','','25','2.81','4.7','12.09','0','96','4.86','3.2','0.82','26','66','256','224','0.54','0.085','0','0.8','18','0.87','0','26','936','13.6','0.125','0.082','1.291','0','0.146','0','18.8','23.7','33','33','0','0','0','0','0','0','0','0','0','0','0','0','0','0','0','0','0','0','3','1.546'),</v>
      </c>
    </row>
    <row r="126" spans="1:59" s="44" customFormat="1" ht="15" customHeight="1">
      <c r="A126" s="98">
        <v>2709932</v>
      </c>
      <c r="B126" s="44" t="s">
        <v>261</v>
      </c>
      <c r="C126" s="60" t="s">
        <v>311</v>
      </c>
      <c r="D126" s="60" t="s">
        <v>262</v>
      </c>
      <c r="E126" s="110">
        <v>3</v>
      </c>
      <c r="F126" s="62">
        <v>2.29</v>
      </c>
      <c r="G126" s="46">
        <v>2.71</v>
      </c>
      <c r="H126" s="62">
        <v>4.41</v>
      </c>
      <c r="I126" s="62">
        <v>0</v>
      </c>
      <c r="J126" s="46">
        <v>46</v>
      </c>
      <c r="K126" s="46">
        <v>1.23</v>
      </c>
      <c r="L126" s="46">
        <v>2.8</v>
      </c>
      <c r="M126" s="46">
        <v>0.5</v>
      </c>
      <c r="N126" s="46">
        <v>11</v>
      </c>
      <c r="O126" s="46">
        <v>36</v>
      </c>
      <c r="P126" s="46">
        <v>136</v>
      </c>
      <c r="Q126" s="46">
        <v>135</v>
      </c>
      <c r="R126" s="46">
        <v>0.2</v>
      </c>
      <c r="S126" s="46">
        <v>2.8000000000000001E-2</v>
      </c>
      <c r="T126" s="46">
        <v>0</v>
      </c>
      <c r="U126" s="46">
        <v>0.6</v>
      </c>
      <c r="V126" s="46">
        <v>11</v>
      </c>
      <c r="W126" s="46">
        <v>1.05</v>
      </c>
      <c r="X126" s="46">
        <v>0</v>
      </c>
      <c r="Y126" s="46">
        <v>1</v>
      </c>
      <c r="Z126" s="46">
        <v>542</v>
      </c>
      <c r="AA126" s="46">
        <v>34.6</v>
      </c>
      <c r="AB126" s="46">
        <v>4.4999999999999998E-2</v>
      </c>
      <c r="AC126" s="46">
        <v>6.5000000000000002E-2</v>
      </c>
      <c r="AD126" s="46">
        <v>0.372</v>
      </c>
      <c r="AE126" s="46">
        <v>0</v>
      </c>
      <c r="AF126" s="46">
        <v>0.122</v>
      </c>
      <c r="AG126" s="46">
        <v>0</v>
      </c>
      <c r="AH126" s="46">
        <v>24.3</v>
      </c>
      <c r="AI126" s="46">
        <v>50.5</v>
      </c>
      <c r="AJ126" s="46">
        <v>47</v>
      </c>
      <c r="AK126" s="46">
        <v>47</v>
      </c>
      <c r="AL126" s="46">
        <v>0</v>
      </c>
      <c r="AM126" s="46">
        <v>0</v>
      </c>
      <c r="AN126" s="46">
        <v>0</v>
      </c>
      <c r="AO126" s="46">
        <v>0</v>
      </c>
      <c r="AP126" s="46">
        <v>0</v>
      </c>
      <c r="AQ126" s="46">
        <v>0</v>
      </c>
      <c r="AR126" s="46">
        <v>0</v>
      </c>
      <c r="AS126" s="46">
        <v>0</v>
      </c>
      <c r="AT126" s="46">
        <v>0</v>
      </c>
      <c r="AU126" s="46">
        <v>0</v>
      </c>
      <c r="AV126" s="46">
        <v>0</v>
      </c>
      <c r="AW126" s="46">
        <v>0</v>
      </c>
      <c r="AX126" s="46">
        <v>0</v>
      </c>
      <c r="AY126" s="46">
        <v>0</v>
      </c>
      <c r="AZ126" s="46">
        <v>0</v>
      </c>
      <c r="BA126" s="46">
        <v>0</v>
      </c>
      <c r="BB126" s="46">
        <v>0</v>
      </c>
      <c r="BC126" s="46">
        <v>0</v>
      </c>
      <c r="BD126" s="46">
        <v>2</v>
      </c>
      <c r="BE126" s="46">
        <v>0.91500000000000004</v>
      </c>
      <c r="BF126" s="44" t="str">
        <f>"new food('"&amp;B126&amp;"','"&amp;C126&amp;"','"&amp;D126&amp;"','"&amp;E126&amp;"','"&amp;F126&amp;"','"&amp;G126&amp;"','"&amp;H126&amp;"','"&amp;I126&amp;"','"&amp;J126&amp;"','"&amp;K126&amp;"','"&amp;L126&amp;"','"&amp;M126&amp;"','"&amp;N126&amp;"','"&amp;O126&amp;"','"&amp;P126&amp;"','"&amp;Q126&amp;"','"&amp;R126&amp;"','"&amp;S126&amp;"','"&amp;T126&amp;"','"&amp;U126&amp;"','"&amp;V126&amp;"','"&amp;W126&amp;"','"&amp;X126&amp;"','"&amp;Y126&amp;"','"&amp;Z126&amp;"','"&amp;AA126&amp;"','"&amp;AB126&amp;"','"&amp;AC126&amp;"','"&amp;AD126&amp;"','"&amp;AE126&amp;"','"&amp;AF126&amp;"','"&amp;AG126&amp;"','"&amp;AH126&amp;"','"&amp;AI126&amp;"','"&amp;AJ126&amp;"','"&amp;AK126&amp;"','"&amp;AL126&amp;"','"&amp;AM126&amp;"','"&amp;AN126&amp;"','"&amp;AO126&amp;"','"&amp;AP126&amp;"','"&amp;AQ126&amp;"','"&amp;AR126&amp;"','"&amp;AS126&amp;"','"&amp;AT126&amp;"','"&amp;AU126&amp;"','"&amp;AV126&amp;"','"&amp;AW126&amp;"','"&amp;AX126&amp;"','"&amp;AY126&amp;"','"&amp;AZ126&amp;"','"&amp;BA126&amp;"','"&amp;BB126&amp;"','"&amp;BC126&amp;"','"&amp;BD126&amp;"','"&amp;BE126&amp;"'),"</f>
        <v>new food('Garlic cooked','Ingred','1 clove','3','2.29','2.71','4.41','0','46','1.23','2.8','0.5','11','36','136','135','0.2','0.028','0','0.6','11','1.05','0','1','542','34.6','0.045','0.065','0.372','0','0.122','0','24.3','50.5','47','47','0','0','0','0','0','0','0','0','0','0','0','0','0','0','0','0','0','0','2','0.915'),</v>
      </c>
    </row>
    <row r="127" spans="1:59" s="44" customFormat="1" ht="15" customHeight="1">
      <c r="A127" s="97">
        <v>170285</v>
      </c>
      <c r="B127" s="57" t="s">
        <v>80</v>
      </c>
      <c r="C127" s="50" t="s">
        <v>311</v>
      </c>
      <c r="D127" s="58" t="s">
        <v>346</v>
      </c>
      <c r="E127" s="99">
        <v>39</v>
      </c>
      <c r="F127" s="45">
        <v>0.56999999999999995</v>
      </c>
      <c r="G127" s="44">
        <v>0.11</v>
      </c>
      <c r="H127" s="44">
        <v>7.06</v>
      </c>
      <c r="I127" s="44">
        <v>7.0000000000000007E-2</v>
      </c>
      <c r="J127" s="44">
        <v>30.75</v>
      </c>
      <c r="K127" s="44">
        <v>0.02</v>
      </c>
      <c r="L127" s="45">
        <v>0.95</v>
      </c>
      <c r="M127" s="44">
        <v>0.33</v>
      </c>
      <c r="N127" s="44">
        <v>5.5</v>
      </c>
      <c r="O127" s="45">
        <v>13.5</v>
      </c>
      <c r="P127" s="44">
        <v>23.25</v>
      </c>
      <c r="Q127" s="44">
        <v>0.75</v>
      </c>
      <c r="R127" s="45">
        <v>0.21</v>
      </c>
      <c r="S127" s="44">
        <v>0.03</v>
      </c>
      <c r="T127" s="44">
        <v>0.06</v>
      </c>
      <c r="U127" s="44">
        <v>2.15</v>
      </c>
      <c r="V127" s="44">
        <v>0</v>
      </c>
      <c r="W127" s="44">
        <v>0</v>
      </c>
      <c r="X127" s="44">
        <v>0</v>
      </c>
      <c r="Y127" s="44">
        <v>0</v>
      </c>
      <c r="Z127" s="44">
        <v>14</v>
      </c>
      <c r="AA127" s="44">
        <v>0</v>
      </c>
      <c r="AB127" s="44">
        <v>0.02</v>
      </c>
      <c r="AC127" s="44">
        <v>0.02</v>
      </c>
      <c r="AD127" s="44">
        <v>0.52</v>
      </c>
      <c r="AE127" s="45">
        <v>0.03</v>
      </c>
      <c r="AF127" s="44">
        <v>0.03</v>
      </c>
      <c r="AG127" s="44">
        <v>0</v>
      </c>
      <c r="AH127" s="44">
        <v>3.35</v>
      </c>
      <c r="AI127" s="44">
        <v>0.2</v>
      </c>
      <c r="AJ127" s="44">
        <v>2.75</v>
      </c>
      <c r="AK127" s="44">
        <v>4</v>
      </c>
      <c r="AL127" s="44">
        <v>0</v>
      </c>
      <c r="AM127" s="45">
        <v>0.01</v>
      </c>
      <c r="AN127" s="44">
        <v>0.02</v>
      </c>
      <c r="AO127" s="44">
        <v>0.02</v>
      </c>
      <c r="AP127" s="45">
        <v>0.04</v>
      </c>
      <c r="AQ127" s="44">
        <v>0.02</v>
      </c>
      <c r="AR127" s="44">
        <v>0.01</v>
      </c>
      <c r="AS127" s="44">
        <v>0.01</v>
      </c>
      <c r="AT127" s="44">
        <v>0.03</v>
      </c>
      <c r="AU127" s="44">
        <v>0.02</v>
      </c>
      <c r="AV127" s="44">
        <v>0.03</v>
      </c>
      <c r="AW127" s="44">
        <v>0.03</v>
      </c>
      <c r="AX127" s="45">
        <v>0.02</v>
      </c>
      <c r="AY127" s="45">
        <v>0.35</v>
      </c>
      <c r="AZ127" s="44">
        <v>0.15</v>
      </c>
      <c r="BA127" s="44">
        <v>0.02</v>
      </c>
      <c r="BB127" s="44">
        <v>7.0000000000000007E-2</v>
      </c>
      <c r="BC127" s="44">
        <v>0.02</v>
      </c>
      <c r="BD127" s="44">
        <v>0</v>
      </c>
      <c r="BE127" s="44">
        <v>0.01</v>
      </c>
    </row>
    <row r="128" spans="1:59" s="44" customFormat="1" ht="15" customHeight="1">
      <c r="A128" s="98">
        <v>172232</v>
      </c>
      <c r="B128" s="44" t="s">
        <v>219</v>
      </c>
      <c r="C128" s="50" t="s">
        <v>311</v>
      </c>
      <c r="D128" s="50"/>
      <c r="E128" s="98"/>
      <c r="F128" s="46">
        <v>3.15</v>
      </c>
      <c r="G128" s="46">
        <v>0.64</v>
      </c>
      <c r="H128" s="46">
        <v>2.65</v>
      </c>
      <c r="I128" s="46">
        <v>0</v>
      </c>
      <c r="J128" s="46">
        <v>23</v>
      </c>
      <c r="K128" s="46">
        <v>0.3</v>
      </c>
      <c r="L128" s="46">
        <v>1.6</v>
      </c>
      <c r="M128" s="46">
        <v>3.17</v>
      </c>
      <c r="N128" s="46">
        <v>64</v>
      </c>
      <c r="O128" s="46">
        <v>56</v>
      </c>
      <c r="P128" s="46">
        <v>295</v>
      </c>
      <c r="Q128" s="46">
        <v>4</v>
      </c>
      <c r="R128" s="46">
        <v>0.81</v>
      </c>
      <c r="S128" s="46">
        <v>0.38500000000000001</v>
      </c>
      <c r="T128" s="46">
        <v>0</v>
      </c>
      <c r="U128" s="46">
        <v>0.3</v>
      </c>
      <c r="V128" s="46">
        <v>0</v>
      </c>
      <c r="W128" s="46">
        <v>0.8</v>
      </c>
      <c r="X128" s="46">
        <v>0</v>
      </c>
      <c r="Y128" s="46">
        <v>46</v>
      </c>
      <c r="Z128" s="46">
        <v>5650</v>
      </c>
      <c r="AA128" s="46">
        <v>18</v>
      </c>
      <c r="AB128" s="46">
        <v>3.4000000000000002E-2</v>
      </c>
      <c r="AC128" s="46">
        <v>7.5999999999999998E-2</v>
      </c>
      <c r="AD128" s="46">
        <v>0.90200000000000002</v>
      </c>
      <c r="AE128" s="46">
        <v>0</v>
      </c>
      <c r="AF128" s="46">
        <v>0.155</v>
      </c>
      <c r="AG128" s="46">
        <v>0</v>
      </c>
      <c r="AH128" s="46">
        <v>11.4</v>
      </c>
      <c r="AI128" s="46">
        <v>414.8</v>
      </c>
      <c r="AJ128" s="46">
        <v>68</v>
      </c>
      <c r="AK128" s="46">
        <v>68</v>
      </c>
      <c r="AL128" s="46">
        <v>0</v>
      </c>
      <c r="AM128" s="46">
        <v>0</v>
      </c>
      <c r="AN128" s="46">
        <v>0</v>
      </c>
      <c r="AO128" s="46">
        <v>0</v>
      </c>
      <c r="AP128" s="46">
        <v>0</v>
      </c>
      <c r="AQ128" s="46">
        <v>0</v>
      </c>
      <c r="AR128" s="46">
        <v>0</v>
      </c>
      <c r="AS128" s="46">
        <v>0</v>
      </c>
      <c r="AT128" s="46">
        <v>0</v>
      </c>
      <c r="AU128" s="46">
        <v>0</v>
      </c>
      <c r="AV128" s="46">
        <v>0</v>
      </c>
      <c r="AW128" s="46">
        <v>0</v>
      </c>
      <c r="AX128" s="46">
        <v>0</v>
      </c>
      <c r="AY128" s="46">
        <v>0</v>
      </c>
      <c r="AZ128" s="46">
        <v>0</v>
      </c>
      <c r="BA128" s="46">
        <v>0</v>
      </c>
      <c r="BB128" s="46">
        <v>0</v>
      </c>
      <c r="BC128" s="46">
        <v>0</v>
      </c>
      <c r="BD128" s="46">
        <v>0</v>
      </c>
      <c r="BE128" s="46">
        <v>8.7999999999999995E-2</v>
      </c>
      <c r="BF128" s="44" t="str">
        <f t="shared" ref="BF128:BF138" si="17">"new food('"&amp;B128&amp;"','"&amp;C128&amp;"','"&amp;D128&amp;"','"&amp;E128&amp;"','"&amp;F128&amp;"','"&amp;G128&amp;"','"&amp;H128&amp;"','"&amp;I128&amp;"','"&amp;J128&amp;"','"&amp;K128&amp;"','"&amp;L128&amp;"','"&amp;M128&amp;"','"&amp;N128&amp;"','"&amp;O128&amp;"','"&amp;P128&amp;"','"&amp;Q128&amp;"','"&amp;R128&amp;"','"&amp;S128&amp;"','"&amp;T128&amp;"','"&amp;U128&amp;"','"&amp;V128&amp;"','"&amp;W128&amp;"','"&amp;X128&amp;"','"&amp;Y128&amp;"','"&amp;Z128&amp;"','"&amp;AA128&amp;"','"&amp;AB128&amp;"','"&amp;AC128&amp;"','"&amp;AD128&amp;"','"&amp;AE128&amp;"','"&amp;AF128&amp;"','"&amp;AG128&amp;"','"&amp;AH128&amp;"','"&amp;AI128&amp;"','"&amp;AJ128&amp;"','"&amp;AK128&amp;"','"&amp;AL128&amp;"','"&amp;AM128&amp;"','"&amp;AN128&amp;"','"&amp;AO128&amp;"','"&amp;AP128&amp;"','"&amp;AQ128&amp;"','"&amp;AR128&amp;"','"&amp;AS128&amp;"','"&amp;AT128&amp;"','"&amp;AU128&amp;"','"&amp;AV128&amp;"','"&amp;AW128&amp;"','"&amp;AX128&amp;"','"&amp;AY128&amp;"','"&amp;AZ128&amp;"','"&amp;BA128&amp;"','"&amp;BB128&amp;"','"&amp;BC128&amp;"','"&amp;BD128&amp;"','"&amp;BE128&amp;"'),"</f>
        <v>new food('Basil, fresh','Ingred','','','3.15','0.64','2.65','0','23','0.3','1.6','3.17','64','56','295','4','0.81','0.385','0','0.3','0','0.8','0','46','5650','18','0.034','0.076','0.902','0','0.155','0','11.4','414.8','68','68','0','0','0','0','0','0','0','0','0','0','0','0','0','0','0','0','0','0','0','0.088'),</v>
      </c>
    </row>
    <row r="129" spans="1:58" s="44" customFormat="1" ht="15" customHeight="1">
      <c r="A129" s="97">
        <v>169969</v>
      </c>
      <c r="B129" s="57" t="s">
        <v>103</v>
      </c>
      <c r="C129" s="58" t="s">
        <v>311</v>
      </c>
      <c r="D129" s="60" t="s">
        <v>221</v>
      </c>
      <c r="E129" s="99">
        <v>184</v>
      </c>
      <c r="F129" s="65">
        <v>3.1</v>
      </c>
      <c r="G129" s="65">
        <v>0.12</v>
      </c>
      <c r="H129" s="68">
        <v>5.35</v>
      </c>
      <c r="I129" s="68">
        <v>0.71</v>
      </c>
      <c r="J129" s="67">
        <v>28</v>
      </c>
      <c r="K129" s="56">
        <v>1.47</v>
      </c>
      <c r="L129" s="65">
        <v>3</v>
      </c>
      <c r="M129" s="68">
        <v>0.61</v>
      </c>
      <c r="N129" s="63">
        <v>13</v>
      </c>
      <c r="O129" s="56">
        <v>49</v>
      </c>
      <c r="P129" s="56">
        <v>142</v>
      </c>
      <c r="Q129" s="63">
        <v>11</v>
      </c>
      <c r="R129" s="57">
        <v>0.28000000000000003</v>
      </c>
      <c r="S129" s="56">
        <v>3.4000000000000002E-2</v>
      </c>
      <c r="T129" s="63">
        <v>0.223</v>
      </c>
      <c r="U129" s="56">
        <v>7.0000000000000007E-2</v>
      </c>
      <c r="V129" s="63">
        <v>0</v>
      </c>
      <c r="W129" s="61">
        <v>1.32</v>
      </c>
      <c r="X129" s="57">
        <v>0</v>
      </c>
      <c r="Y129" s="61">
        <v>1</v>
      </c>
      <c r="Z129" s="56">
        <v>1095</v>
      </c>
      <c r="AA129" s="63">
        <v>40.1</v>
      </c>
      <c r="AB129" s="56">
        <v>5.5E-2</v>
      </c>
      <c r="AC129" s="56">
        <v>8.1000000000000003E-2</v>
      </c>
      <c r="AD129" s="63">
        <v>0.45800000000000002</v>
      </c>
      <c r="AE129" s="56">
        <v>0.27400000000000002</v>
      </c>
      <c r="AF129" s="56">
        <v>0.13</v>
      </c>
      <c r="AG129" s="56">
        <v>0</v>
      </c>
      <c r="AH129" s="57">
        <v>16.2</v>
      </c>
      <c r="AI129" s="56">
        <v>86.1</v>
      </c>
      <c r="AJ129" s="56">
        <v>33</v>
      </c>
      <c r="AK129" s="57">
        <v>56</v>
      </c>
      <c r="AL129" s="57">
        <v>0</v>
      </c>
      <c r="AM129" s="56">
        <v>3.2000000000000001E-2</v>
      </c>
      <c r="AN129" s="56">
        <v>0.10100000000000001</v>
      </c>
      <c r="AO129" s="56">
        <v>0.121</v>
      </c>
      <c r="AP129" s="57">
        <v>0.14499999999999999</v>
      </c>
      <c r="AQ129" s="56">
        <v>0.156</v>
      </c>
      <c r="AR129" s="56">
        <v>3.6999999999999998E-2</v>
      </c>
      <c r="AS129" s="63">
        <v>0.22</v>
      </c>
      <c r="AT129" s="56">
        <v>9.4E-2</v>
      </c>
      <c r="AU129" s="56">
        <v>7.0000000000000007E-2</v>
      </c>
      <c r="AV129" s="56">
        <v>0.14199999999999999</v>
      </c>
      <c r="AW129" s="56">
        <v>0.161</v>
      </c>
      <c r="AX129" s="57">
        <v>0.13</v>
      </c>
      <c r="AY129" s="57">
        <v>0.23599999999999999</v>
      </c>
      <c r="AZ129" s="57">
        <v>0.41699999999999998</v>
      </c>
      <c r="BA129" s="56">
        <v>0.105</v>
      </c>
      <c r="BB129" s="56">
        <v>0.127</v>
      </c>
      <c r="BC129" s="56">
        <v>0.111</v>
      </c>
      <c r="BD129" s="63">
        <v>0</v>
      </c>
      <c r="BE129" s="61">
        <v>8.0000000000000002E-3</v>
      </c>
      <c r="BF129" s="44" t="str">
        <f t="shared" si="17"/>
        <v>new food('Broccoli frozen','Ingred','1 cup','184','3.1','0.12','5.35','0.71','28','1.47','3','0.61','13','49','142','11','0.28','0.034','0.223','0.07','0','1.32','0','1','1095','40.1','0.055','0.081','0.458','0.274','0.13','0','16.2','86.1','33','56','0','0.032','0.101','0.121','0.145','0.156','0.037','0.22','0.094','0.07','0.142','0.161','0.13','0.236','0.417','0.105','0.127','0.111','0','0.008'),</v>
      </c>
    </row>
    <row r="130" spans="1:58" s="44" customFormat="1" ht="15" customHeight="1">
      <c r="A130" s="102">
        <v>2709881</v>
      </c>
      <c r="B130" s="64" t="s">
        <v>255</v>
      </c>
      <c r="C130" s="81" t="s">
        <v>311</v>
      </c>
      <c r="D130" s="81" t="s">
        <v>221</v>
      </c>
      <c r="E130" s="111"/>
      <c r="F130" s="69">
        <v>3.64</v>
      </c>
      <c r="G130" s="69">
        <v>0.39</v>
      </c>
      <c r="H130" s="62">
        <v>0.32</v>
      </c>
      <c r="I130" s="69">
        <v>0</v>
      </c>
      <c r="J130" s="80">
        <v>42</v>
      </c>
      <c r="K130" s="82">
        <v>2.08</v>
      </c>
      <c r="L130" s="69">
        <v>4.0999999999999996</v>
      </c>
      <c r="M130" s="69">
        <v>0.48</v>
      </c>
      <c r="N130" s="69">
        <v>18</v>
      </c>
      <c r="O130" s="69">
        <v>66</v>
      </c>
      <c r="P130" s="80">
        <v>290</v>
      </c>
      <c r="Q130" s="80">
        <v>15</v>
      </c>
      <c r="R130" s="80">
        <v>0.24</v>
      </c>
      <c r="S130" s="69">
        <v>3.4000000000000002E-2</v>
      </c>
      <c r="T130" s="69">
        <v>0</v>
      </c>
      <c r="U130" s="80">
        <v>0.6</v>
      </c>
      <c r="V130" s="80">
        <v>0</v>
      </c>
      <c r="W130" s="80">
        <v>0.51</v>
      </c>
      <c r="X130" s="80">
        <v>0</v>
      </c>
      <c r="Y130" s="80">
        <v>0</v>
      </c>
      <c r="Z130" s="80">
        <v>1541</v>
      </c>
      <c r="AA130" s="80">
        <v>45.7</v>
      </c>
      <c r="AB130" s="80">
        <v>0.10299999999999999</v>
      </c>
      <c r="AC130" s="80">
        <v>0.113</v>
      </c>
      <c r="AD130" s="80">
        <v>0.53700000000000003</v>
      </c>
      <c r="AE130" s="80">
        <v>0</v>
      </c>
      <c r="AF130" s="69">
        <v>0.28899999999999998</v>
      </c>
      <c r="AG130" s="69">
        <v>0</v>
      </c>
      <c r="AH130" s="69">
        <v>18.100000000000001</v>
      </c>
      <c r="AI130" s="80">
        <v>193.5</v>
      </c>
      <c r="AJ130" s="80">
        <v>101</v>
      </c>
      <c r="AK130" s="80">
        <v>101</v>
      </c>
      <c r="AL130" s="80">
        <v>0</v>
      </c>
      <c r="AM130" s="80">
        <v>0</v>
      </c>
      <c r="AN130" s="80">
        <v>0</v>
      </c>
      <c r="AO130" s="69">
        <v>0</v>
      </c>
      <c r="AP130" s="69">
        <v>0</v>
      </c>
      <c r="AQ130" s="69">
        <v>0</v>
      </c>
      <c r="AR130" s="80">
        <v>0</v>
      </c>
      <c r="AS130" s="80">
        <v>0</v>
      </c>
      <c r="AT130" s="80">
        <v>0</v>
      </c>
      <c r="AU130" s="80">
        <v>0</v>
      </c>
      <c r="AV130" s="80">
        <v>0</v>
      </c>
      <c r="AW130" s="80">
        <v>0</v>
      </c>
      <c r="AX130" s="80">
        <v>0</v>
      </c>
      <c r="AY130" s="80">
        <v>0</v>
      </c>
      <c r="AZ130" s="80">
        <v>0</v>
      </c>
      <c r="BA130" s="80">
        <v>0</v>
      </c>
      <c r="BB130" s="80">
        <v>0</v>
      </c>
      <c r="BC130" s="80">
        <v>0</v>
      </c>
      <c r="BD130" s="69">
        <v>0</v>
      </c>
      <c r="BE130" s="69">
        <v>0.03</v>
      </c>
      <c r="BF130" s="44" t="str">
        <f t="shared" si="17"/>
        <v>new food('Brussels sprouts frozen cooked','Ingred','1 cup','','3.64','0.39','0.32','0','42','2.08','4.1','0.48','18','66','290','15','0.24','0.034','0','0.6','0','0.51','0','0','1541','45.7','0.103','0.113','0.537','0','0.289','0','18.1','193.5','101','101','0','0','0','0','0','0','0','0','0','0','0','0','0','0','0','0','0','0','0','0.03'),</v>
      </c>
    </row>
    <row r="131" spans="1:58" s="44" customFormat="1" ht="15" customHeight="1">
      <c r="A131" s="100">
        <v>2342243</v>
      </c>
      <c r="B131" s="64" t="s">
        <v>287</v>
      </c>
      <c r="C131" s="60" t="s">
        <v>311</v>
      </c>
      <c r="D131" s="79" t="s">
        <v>277</v>
      </c>
      <c r="E131" s="111">
        <v>120</v>
      </c>
      <c r="F131" s="65">
        <v>13.97</v>
      </c>
      <c r="G131" s="65">
        <v>18.760000000000002</v>
      </c>
      <c r="H131" s="45">
        <v>2.8</v>
      </c>
      <c r="I131" s="64">
        <v>0</v>
      </c>
      <c r="J131" s="67">
        <v>235</v>
      </c>
      <c r="K131" s="56">
        <v>2.1</v>
      </c>
      <c r="L131" s="65">
        <v>0.4</v>
      </c>
      <c r="M131" s="65">
        <v>0.51</v>
      </c>
      <c r="N131" s="65">
        <v>15</v>
      </c>
      <c r="O131" s="56">
        <v>131</v>
      </c>
      <c r="P131" s="56">
        <v>206</v>
      </c>
      <c r="Q131" s="56">
        <v>480</v>
      </c>
      <c r="R131" s="56">
        <v>0.88</v>
      </c>
      <c r="S131" s="45">
        <v>4.9000000000000002E-2</v>
      </c>
      <c r="T131" s="56">
        <v>0</v>
      </c>
      <c r="U131" s="56">
        <v>12.7</v>
      </c>
      <c r="V131" s="56">
        <v>7</v>
      </c>
      <c r="W131" s="56">
        <v>0.98</v>
      </c>
      <c r="X131" s="63">
        <v>0</v>
      </c>
      <c r="Y131" s="45">
        <v>18</v>
      </c>
      <c r="Z131" s="56">
        <v>82</v>
      </c>
      <c r="AA131" s="56">
        <v>0.8</v>
      </c>
      <c r="AB131" s="56">
        <v>4.2000000000000003E-2</v>
      </c>
      <c r="AC131" s="56">
        <v>0.111</v>
      </c>
      <c r="AD131" s="56">
        <v>3.9409999999999998</v>
      </c>
      <c r="AE131" s="56">
        <v>0</v>
      </c>
      <c r="AF131" s="56">
        <v>0.14499999999999999</v>
      </c>
      <c r="AG131" s="65">
        <v>0.21</v>
      </c>
      <c r="AH131" s="64">
        <v>42.4</v>
      </c>
      <c r="AI131" s="65">
        <v>45.1</v>
      </c>
      <c r="AJ131" s="45">
        <v>13</v>
      </c>
      <c r="AK131" s="65">
        <v>13</v>
      </c>
      <c r="AL131" s="64">
        <v>0</v>
      </c>
      <c r="AM131" s="65">
        <v>0</v>
      </c>
      <c r="AN131" s="67">
        <v>0</v>
      </c>
      <c r="AO131" s="67">
        <v>0</v>
      </c>
      <c r="AP131" s="67">
        <v>0</v>
      </c>
      <c r="AQ131" s="67">
        <v>0</v>
      </c>
      <c r="AR131" s="67">
        <v>0</v>
      </c>
      <c r="AS131" s="67">
        <v>0</v>
      </c>
      <c r="AT131" s="67">
        <v>0</v>
      </c>
      <c r="AU131" s="67">
        <v>0</v>
      </c>
      <c r="AV131" s="67">
        <v>0</v>
      </c>
      <c r="AW131" s="66">
        <v>0</v>
      </c>
      <c r="AX131" s="66">
        <v>0</v>
      </c>
      <c r="AY131" s="66">
        <v>0</v>
      </c>
      <c r="AZ131" s="67">
        <v>0</v>
      </c>
      <c r="BA131" s="67">
        <v>0</v>
      </c>
      <c r="BB131" s="67">
        <v>0</v>
      </c>
      <c r="BC131" s="67">
        <v>8.5489999999999995</v>
      </c>
      <c r="BD131" s="65">
        <v>66</v>
      </c>
      <c r="BE131" s="67">
        <v>4.8739999999999997</v>
      </c>
      <c r="BF131" s="44" t="str">
        <f t="shared" si="17"/>
        <v>new food('Celery','Ingred','1 T','120','13.97','18.76','2.8','0','235','2.1','0.4','0.51','15','131','206','480','0.88','0.049','0','12.7','7','0.98','0','18','82','0.8','0.042','0.111','3.941','0','0.145','0.21','42.4','45.1','13','13','0','0','0','0','0','0','0','0','0','0','0','0','0','0','0','0','0','8.549','66','4.874'),</v>
      </c>
    </row>
    <row r="132" spans="1:58" s="44" customFormat="1" ht="15" customHeight="1">
      <c r="A132" s="98">
        <v>168399</v>
      </c>
      <c r="B132" s="44" t="s">
        <v>106</v>
      </c>
      <c r="C132" s="50" t="s">
        <v>344</v>
      </c>
      <c r="D132" s="50" t="s">
        <v>221</v>
      </c>
      <c r="E132" s="98">
        <v>165</v>
      </c>
      <c r="F132" s="45">
        <v>2.5499999999999998</v>
      </c>
      <c r="G132" s="44">
        <v>0.67</v>
      </c>
      <c r="H132" s="44">
        <v>19.3</v>
      </c>
      <c r="I132" s="44">
        <v>0.44</v>
      </c>
      <c r="J132" s="44">
        <v>338</v>
      </c>
      <c r="K132" s="44">
        <v>3.07</v>
      </c>
      <c r="L132" s="45">
        <v>2.4</v>
      </c>
      <c r="M132" s="44">
        <v>0.47</v>
      </c>
      <c r="N132" s="44">
        <v>28</v>
      </c>
      <c r="O132" s="45">
        <v>79</v>
      </c>
      <c r="P132" s="44">
        <v>233</v>
      </c>
      <c r="Q132" s="44">
        <v>1</v>
      </c>
      <c r="R132" s="45">
        <v>0.63</v>
      </c>
      <c r="S132" s="44">
        <v>4.8000000000000001E-2</v>
      </c>
      <c r="T132" s="44">
        <v>0.155</v>
      </c>
      <c r="U132" s="44">
        <v>0.7</v>
      </c>
      <c r="V132" s="44">
        <v>0</v>
      </c>
      <c r="W132" s="44">
        <v>7.0000000000000007E-2</v>
      </c>
      <c r="X132" s="44">
        <v>0</v>
      </c>
      <c r="Y132" s="44">
        <v>122</v>
      </c>
      <c r="Z132" s="44">
        <v>684</v>
      </c>
      <c r="AA132" s="44">
        <v>3.5</v>
      </c>
      <c r="AB132" s="44">
        <v>0.03</v>
      </c>
      <c r="AC132" s="44">
        <v>6.2E-2</v>
      </c>
      <c r="AD132" s="44">
        <v>1.3109999999999999</v>
      </c>
      <c r="AE132" s="45">
        <v>0.151</v>
      </c>
      <c r="AF132" s="44">
        <v>9.9000000000000005E-2</v>
      </c>
      <c r="AG132" s="44">
        <v>0</v>
      </c>
      <c r="AH132" s="44">
        <v>22</v>
      </c>
      <c r="AI132" s="44">
        <v>0.3</v>
      </c>
      <c r="AJ132" s="44">
        <v>3</v>
      </c>
      <c r="AK132" s="44">
        <v>35</v>
      </c>
      <c r="AL132" s="44">
        <v>0.2</v>
      </c>
      <c r="AM132" s="45">
        <v>3.1E-2</v>
      </c>
      <c r="AN132" s="44">
        <v>0.115</v>
      </c>
      <c r="AO132" s="44">
        <v>0.13700000000000001</v>
      </c>
      <c r="AP132" s="45">
        <v>0.251</v>
      </c>
      <c r="AQ132" s="44">
        <v>0.153</v>
      </c>
      <c r="AR132" s="44">
        <v>6.8000000000000005E-2</v>
      </c>
      <c r="AS132" s="44">
        <v>3.7999999999999999E-2</v>
      </c>
      <c r="AT132" s="44">
        <v>0.13100000000000001</v>
      </c>
      <c r="AU132" s="44">
        <v>0.106</v>
      </c>
      <c r="AV132" s="44">
        <v>0.16700000000000001</v>
      </c>
      <c r="AW132" s="44">
        <v>0.126</v>
      </c>
      <c r="AX132" s="45">
        <v>0.17199999999999999</v>
      </c>
      <c r="AY132" s="45">
        <v>0.219</v>
      </c>
      <c r="AZ132" s="44">
        <v>0.438</v>
      </c>
      <c r="BA132" s="44">
        <v>8.5000000000000006E-2</v>
      </c>
      <c r="BB132" s="44">
        <v>0.18099999999999999</v>
      </c>
      <c r="BC132" s="44">
        <v>0.156</v>
      </c>
      <c r="BD132" s="44">
        <v>0</v>
      </c>
      <c r="BE132" s="44">
        <v>0.19700000000000001</v>
      </c>
      <c r="BF132" s="44" t="str">
        <f t="shared" si="17"/>
        <v>new food('Corn sweet yellow frozen ','Side 2','1 cup','165','2.55','0.67','19.3','0.44','338','3.07','2.4','0.47','28','79','233','1','0.63','0.048','0.155','0.7','0','0.07','0','122','684','3.5','0.03','0.062','1.311','0.151','0.099','0','22','0.3','3','35','0.2','0.031','0.115','0.137','0.251','0.153','0.068','0.038','0.131','0.106','0.167','0.126','0.172','0.219','0.438','0.085','0.181','0.156','0','0.197'),</v>
      </c>
    </row>
    <row r="133" spans="1:58" s="44" customFormat="1" ht="15" customHeight="1">
      <c r="A133" s="98">
        <v>2706386</v>
      </c>
      <c r="B133" s="44" t="s">
        <v>300</v>
      </c>
      <c r="C133" s="50" t="s">
        <v>311</v>
      </c>
      <c r="D133" s="116" t="s">
        <v>345</v>
      </c>
      <c r="E133" s="116">
        <v>3</v>
      </c>
      <c r="F133" s="116">
        <v>5.28</v>
      </c>
      <c r="G133" s="116">
        <v>0.04</v>
      </c>
      <c r="H133" s="116">
        <v>1.68</v>
      </c>
      <c r="I133" s="116">
        <v>0</v>
      </c>
      <c r="J133" s="116">
        <v>93.5</v>
      </c>
      <c r="K133" s="116">
        <v>0.85</v>
      </c>
      <c r="L133" s="116">
        <v>0.25</v>
      </c>
      <c r="M133" s="116">
        <v>0.76</v>
      </c>
      <c r="N133" s="116">
        <v>9</v>
      </c>
      <c r="O133" s="116">
        <v>57.5</v>
      </c>
      <c r="P133" s="116">
        <v>110.5</v>
      </c>
      <c r="Q133" s="116">
        <v>6.5</v>
      </c>
      <c r="R133" s="116">
        <v>1.32</v>
      </c>
      <c r="S133" s="116">
        <v>0.03</v>
      </c>
      <c r="T133" s="116">
        <v>0</v>
      </c>
      <c r="U133" s="116">
        <v>0.35</v>
      </c>
      <c r="V133" s="116">
        <v>0</v>
      </c>
      <c r="W133" s="116">
        <v>0.88</v>
      </c>
      <c r="X133" s="116">
        <v>0</v>
      </c>
      <c r="Y133" s="116">
        <v>0</v>
      </c>
      <c r="Z133" s="116">
        <v>35.5</v>
      </c>
      <c r="AA133" s="116">
        <v>1.1499999999999999</v>
      </c>
      <c r="AB133" s="116">
        <v>0.03</v>
      </c>
      <c r="AC133" s="116">
        <v>0.05</v>
      </c>
      <c r="AD133" s="116">
        <v>1.45</v>
      </c>
      <c r="AE133" s="116">
        <v>0</v>
      </c>
      <c r="AF133" s="116">
        <v>0.13</v>
      </c>
      <c r="AG133" s="116">
        <v>0.42</v>
      </c>
      <c r="AH133" s="116">
        <v>14.4</v>
      </c>
      <c r="AI133" s="116">
        <v>11.45</v>
      </c>
      <c r="AJ133" s="116">
        <v>5.5</v>
      </c>
      <c r="AK133" s="116">
        <v>5.5</v>
      </c>
      <c r="AL133" s="116">
        <v>0</v>
      </c>
      <c r="AM133" s="116">
        <v>0</v>
      </c>
      <c r="AN133" s="116">
        <v>0</v>
      </c>
      <c r="AO133" s="116">
        <v>0</v>
      </c>
      <c r="AP133" s="116">
        <v>0</v>
      </c>
      <c r="AQ133" s="116">
        <v>0</v>
      </c>
      <c r="AR133" s="116">
        <v>0</v>
      </c>
      <c r="AS133" s="116">
        <v>0</v>
      </c>
      <c r="AT133" s="116">
        <v>0</v>
      </c>
      <c r="AU133" s="116">
        <v>0</v>
      </c>
      <c r="AV133" s="116">
        <v>0</v>
      </c>
      <c r="AW133" s="116">
        <v>0</v>
      </c>
      <c r="AX133" s="116">
        <v>0</v>
      </c>
      <c r="AY133" s="116">
        <v>0</v>
      </c>
      <c r="AZ133" s="116">
        <v>0</v>
      </c>
      <c r="BA133" s="116">
        <v>0</v>
      </c>
      <c r="BB133" s="116">
        <v>0</v>
      </c>
      <c r="BC133" s="116">
        <v>0</v>
      </c>
      <c r="BD133" s="116">
        <v>21.5</v>
      </c>
      <c r="BE133" s="116">
        <v>2.62</v>
      </c>
      <c r="BF133" s="44" t="str">
        <f t="shared" si="17"/>
        <v>new food('Ginger root','Ingred','.5 tsp','3','5.28','0.04','1.68','0','93.5','0.85','0.25','0.76','9','57.5','110.5','6.5','1.32','0.03','0','0.35','0','0.88','0','0','35.5','1.15','0.03','0.05','1.45','0','0.13','0.42','14.4','11.45','5.5','5.5','0','0','0','0','0','0','0','0','0','0','0','0','0','0','0','0','0','0','21.5','2.62'),</v>
      </c>
    </row>
    <row r="134" spans="1:58" s="44" customFormat="1" ht="15" customHeight="1">
      <c r="A134" s="98">
        <v>172421</v>
      </c>
      <c r="B134" s="44" t="s">
        <v>335</v>
      </c>
      <c r="C134" s="50" t="s">
        <v>311</v>
      </c>
      <c r="D134" s="116" t="s">
        <v>225</v>
      </c>
      <c r="E134" s="116">
        <v>49.5</v>
      </c>
      <c r="F134" s="116">
        <v>2.27</v>
      </c>
      <c r="G134" s="116">
        <v>0.1</v>
      </c>
      <c r="H134" s="116">
        <v>5.03</v>
      </c>
      <c r="I134" s="116">
        <v>0</v>
      </c>
      <c r="J134" s="116">
        <v>29</v>
      </c>
      <c r="K134" s="116">
        <v>0.45</v>
      </c>
      <c r="L134" s="116">
        <v>1.98</v>
      </c>
      <c r="M134" s="116">
        <v>0.83</v>
      </c>
      <c r="N134" s="116">
        <v>9</v>
      </c>
      <c r="O134" s="116">
        <v>45</v>
      </c>
      <c r="P134" s="116">
        <v>92.5</v>
      </c>
      <c r="Q134" s="116">
        <v>0.5</v>
      </c>
      <c r="R134" s="116">
        <v>0.32</v>
      </c>
      <c r="S134" s="116">
        <v>0.06</v>
      </c>
      <c r="T134" s="116">
        <v>0</v>
      </c>
      <c r="U134" s="116">
        <v>0.7</v>
      </c>
      <c r="V134" s="116">
        <v>0</v>
      </c>
      <c r="W134" s="116">
        <v>0.03</v>
      </c>
      <c r="X134" s="116">
        <v>0</v>
      </c>
      <c r="Y134" s="116">
        <v>0</v>
      </c>
      <c r="Z134" s="116">
        <v>0</v>
      </c>
      <c r="AA134" s="116">
        <v>0.38</v>
      </c>
      <c r="AB134" s="116">
        <v>0.04</v>
      </c>
      <c r="AC134" s="116">
        <v>0.02</v>
      </c>
      <c r="AD134" s="116">
        <v>0.27</v>
      </c>
      <c r="AE134" s="116">
        <v>0</v>
      </c>
      <c r="AF134" s="116">
        <v>0.04</v>
      </c>
      <c r="AG134" s="116">
        <v>0</v>
      </c>
      <c r="AH134" s="116">
        <v>8.18</v>
      </c>
      <c r="AI134" s="116">
        <v>0.43</v>
      </c>
      <c r="AJ134" s="116">
        <v>45.25</v>
      </c>
      <c r="AK134" s="116">
        <v>0</v>
      </c>
      <c r="AL134" s="116">
        <v>0</v>
      </c>
      <c r="AM134" s="116">
        <v>0</v>
      </c>
      <c r="AN134" s="116">
        <v>0</v>
      </c>
      <c r="AO134" s="116">
        <v>0</v>
      </c>
      <c r="AP134" s="116">
        <v>0</v>
      </c>
      <c r="AQ134" s="116">
        <v>0</v>
      </c>
      <c r="AR134" s="116">
        <v>0</v>
      </c>
      <c r="AS134" s="116">
        <v>0</v>
      </c>
      <c r="AT134" s="116">
        <v>0</v>
      </c>
      <c r="AU134" s="116">
        <v>0</v>
      </c>
      <c r="AV134" s="116">
        <v>0</v>
      </c>
      <c r="AW134" s="116">
        <v>0</v>
      </c>
      <c r="AX134" s="116">
        <v>0</v>
      </c>
      <c r="AY134" s="116">
        <v>0</v>
      </c>
      <c r="AZ134" s="116">
        <v>0</v>
      </c>
      <c r="BA134" s="116">
        <v>0</v>
      </c>
      <c r="BB134" s="116">
        <v>0</v>
      </c>
      <c r="BC134" s="116">
        <v>0</v>
      </c>
      <c r="BD134" s="116">
        <v>0</v>
      </c>
      <c r="BE134" s="116">
        <v>0.02</v>
      </c>
      <c r="BF134" s="44" t="str">
        <f t="shared" si="17"/>
        <v>new food('Lentils boiled','Ingred','.25 cup','49.5','2.27','0.1','5.03','0','29','0.45','1.98','0.83','9','45','92.5','0.5','0.32','0.06','0','0.7','0','0.03','0','0','0','0.38','0.04','0.02','0.27','0','0.04','0','8.18','0.43','45.25','0','0','0','0','0','0','0','0','0','0','0','0','0','0','0','0','0','0','0','0','0.02'),</v>
      </c>
    </row>
    <row r="135" spans="1:58" s="44" customFormat="1" ht="15" customHeight="1">
      <c r="A135" s="97">
        <v>170017</v>
      </c>
      <c r="B135" s="57" t="s">
        <v>107</v>
      </c>
      <c r="C135" s="60" t="s">
        <v>344</v>
      </c>
      <c r="D135" s="58" t="s">
        <v>233</v>
      </c>
      <c r="E135" s="97">
        <v>80</v>
      </c>
      <c r="F135" s="44">
        <v>5.15</v>
      </c>
      <c r="G135" s="45">
        <v>0.27</v>
      </c>
      <c r="H135" s="61">
        <v>14.26</v>
      </c>
      <c r="I135" s="61">
        <v>0.8</v>
      </c>
      <c r="J135" s="45">
        <v>78</v>
      </c>
      <c r="K135" s="45">
        <v>4.4000000000000004</v>
      </c>
      <c r="L135" s="45">
        <v>4.5</v>
      </c>
      <c r="M135" s="45">
        <v>1.52</v>
      </c>
      <c r="N135" s="45">
        <v>22</v>
      </c>
      <c r="O135" s="45">
        <v>77</v>
      </c>
      <c r="P135" s="45">
        <v>110</v>
      </c>
      <c r="Q135" s="45">
        <v>72</v>
      </c>
      <c r="R135" s="45">
        <v>0.67</v>
      </c>
      <c r="S135" s="63">
        <v>0.105</v>
      </c>
      <c r="T135" s="44">
        <v>0.27900000000000003</v>
      </c>
      <c r="U135" s="44">
        <v>0.17199999999999999</v>
      </c>
      <c r="V135" s="44">
        <v>0</v>
      </c>
      <c r="W135" s="44">
        <v>0.03</v>
      </c>
      <c r="X135" s="44">
        <v>0</v>
      </c>
      <c r="Y135" s="61">
        <v>0</v>
      </c>
      <c r="Z135" s="44">
        <v>2400</v>
      </c>
      <c r="AA135" s="44">
        <v>9.9</v>
      </c>
      <c r="AB135" s="44">
        <v>0.28299999999999997</v>
      </c>
      <c r="AC135" s="44">
        <v>0.1</v>
      </c>
      <c r="AD135" s="44">
        <v>1.48</v>
      </c>
      <c r="AE135" s="44">
        <v>0.14199999999999999</v>
      </c>
      <c r="AF135" s="44">
        <v>0.113</v>
      </c>
      <c r="AG135" s="44">
        <v>0</v>
      </c>
      <c r="AH135" s="61">
        <v>27.5</v>
      </c>
      <c r="AI135" s="44">
        <v>24</v>
      </c>
      <c r="AJ135" s="63">
        <v>24</v>
      </c>
      <c r="AK135" s="44">
        <v>59</v>
      </c>
      <c r="AL135" s="61">
        <v>0.1</v>
      </c>
      <c r="AM135" s="44">
        <v>3.5000000000000003E-2</v>
      </c>
      <c r="AN135" s="44">
        <v>0.193</v>
      </c>
      <c r="AO135" s="44">
        <v>0.185</v>
      </c>
      <c r="AP135" s="44">
        <v>0.307</v>
      </c>
      <c r="AQ135" s="44">
        <v>0.30199999999999999</v>
      </c>
      <c r="AR135" s="44">
        <v>7.8E-2</v>
      </c>
      <c r="AS135" s="63">
        <v>0.03</v>
      </c>
      <c r="AT135" s="44">
        <v>0.19</v>
      </c>
      <c r="AU135" s="44">
        <v>0.108</v>
      </c>
      <c r="AV135" s="44">
        <v>0.223</v>
      </c>
      <c r="AW135" s="63">
        <v>0.40699999999999997</v>
      </c>
      <c r="AX135" s="61">
        <v>0.22800000000000001</v>
      </c>
      <c r="AY135" s="63">
        <v>0.47099999999999997</v>
      </c>
      <c r="AZ135" s="44">
        <v>0.70499999999999996</v>
      </c>
      <c r="BA135" s="45">
        <v>0.17499999999999999</v>
      </c>
      <c r="BB135" s="44">
        <v>0.16500000000000001</v>
      </c>
      <c r="BC135" s="44">
        <v>0.17199999999999999</v>
      </c>
      <c r="BD135" s="63">
        <v>0</v>
      </c>
      <c r="BE135" s="44">
        <v>2.4E-2</v>
      </c>
      <c r="BF135" s="44" t="str">
        <f t="shared" si="17"/>
        <v>new food('Peas green frozen ','Side 2','.5 cup','80','5.15','0.27','14.26','0.8','78','4.4','4.5','1.52','22','77','110','72','0.67','0.105','0.279','0.172','0','0.03','0','0','2400','9.9','0.283','0.1','1.48','0.142','0.113','0','27.5','24','24','59','0.1','0.035','0.193','0.185','0.307','0.302','0.078','0.03','0.19','0.108','0.223','0.407','0.228','0.471','0.705','0.175','0.165','0.172','0','0.024'),</v>
      </c>
    </row>
    <row r="136" spans="1:58" s="44" customFormat="1" ht="15" customHeight="1">
      <c r="A136" s="101">
        <v>170440</v>
      </c>
      <c r="B136" s="45" t="s">
        <v>108</v>
      </c>
      <c r="C136" s="50" t="s">
        <v>343</v>
      </c>
      <c r="D136" s="84" t="s">
        <v>229</v>
      </c>
      <c r="E136" s="101">
        <v>300</v>
      </c>
      <c r="F136" s="45">
        <v>1.71</v>
      </c>
      <c r="G136" s="44">
        <v>0.1</v>
      </c>
      <c r="H136" s="44">
        <v>20.010000000000002</v>
      </c>
      <c r="I136" s="45">
        <v>0.72</v>
      </c>
      <c r="J136" s="44">
        <v>86</v>
      </c>
      <c r="K136" s="45">
        <v>0.89</v>
      </c>
      <c r="L136" s="44">
        <v>1.8</v>
      </c>
      <c r="M136" s="45">
        <v>0.31</v>
      </c>
      <c r="N136" s="44">
        <v>20</v>
      </c>
      <c r="O136" s="45">
        <v>40</v>
      </c>
      <c r="P136" s="45">
        <v>328</v>
      </c>
      <c r="Q136" s="45">
        <v>5</v>
      </c>
      <c r="R136" s="45">
        <v>0.27</v>
      </c>
      <c r="S136" s="45">
        <v>0.16700000000000001</v>
      </c>
      <c r="T136" s="45">
        <v>0.14000000000000001</v>
      </c>
      <c r="U136" s="45">
        <v>0.3</v>
      </c>
      <c r="V136" s="44">
        <v>0</v>
      </c>
      <c r="W136" s="44">
        <v>0.01</v>
      </c>
      <c r="X136" s="44">
        <v>0</v>
      </c>
      <c r="Y136" s="44">
        <v>0</v>
      </c>
      <c r="Z136" s="45">
        <v>9</v>
      </c>
      <c r="AA136" s="45">
        <v>7.4</v>
      </c>
      <c r="AB136" s="45">
        <v>9.8000000000000004E-2</v>
      </c>
      <c r="AC136" s="44">
        <v>1.9E-2</v>
      </c>
      <c r="AD136" s="45">
        <v>1.3120000000000001</v>
      </c>
      <c r="AE136" s="45">
        <v>0.50800000000000001</v>
      </c>
      <c r="AF136" s="45">
        <v>0.26900000000000002</v>
      </c>
      <c r="AG136" s="45">
        <v>0</v>
      </c>
      <c r="AH136" s="44">
        <v>13.2</v>
      </c>
      <c r="AI136" s="45">
        <v>2.2000000000000002</v>
      </c>
      <c r="AJ136" s="44">
        <v>8</v>
      </c>
      <c r="AK136" s="44">
        <v>9</v>
      </c>
      <c r="AL136" s="44">
        <v>0.2</v>
      </c>
      <c r="AM136" s="45">
        <v>2.7E-2</v>
      </c>
      <c r="AN136" s="45">
        <v>6.2E-2</v>
      </c>
      <c r="AO136" s="45">
        <v>0.02</v>
      </c>
      <c r="AP136" s="45">
        <v>0.10299999999999999</v>
      </c>
      <c r="AQ136" s="45">
        <v>0.104</v>
      </c>
      <c r="AR136" s="45">
        <v>0.27</v>
      </c>
      <c r="AS136" s="44">
        <v>2.1999999999999999E-2</v>
      </c>
      <c r="AT136" s="45">
        <v>7.5999999999999998E-2</v>
      </c>
      <c r="AU136" s="45">
        <v>6.4000000000000001E-2</v>
      </c>
      <c r="AV136" s="45">
        <v>8.5999999999999993E-2</v>
      </c>
      <c r="AW136" s="44">
        <v>7.9000000000000001E-2</v>
      </c>
      <c r="AX136" s="44">
        <v>5.2999999999999999E-2</v>
      </c>
      <c r="AY136" s="45">
        <v>0.41899999999999998</v>
      </c>
      <c r="AZ136" s="45">
        <v>0.20699999999999999</v>
      </c>
      <c r="BA136" s="45">
        <v>5.0999999999999997E-2</v>
      </c>
      <c r="BB136" s="44">
        <v>6.2E-2</v>
      </c>
      <c r="BC136" s="44">
        <v>7.4999999999999997E-2</v>
      </c>
      <c r="BD136" s="45">
        <v>0</v>
      </c>
      <c r="BE136" s="44">
        <v>0</v>
      </c>
      <c r="BF136" s="44" t="str">
        <f t="shared" si="17"/>
        <v>new food('Potatoes without skins','Side 1','1 lg','300','1.71','0.1','20.01','0.72','86','0.89','1.8','0.31','20','40','328','5','0.27','0.167','0.14','0.3','0','0.01','0','0','9','7.4','0.098','0.019','1.312','0.508','0.269','0','13.2','2.2','8','9','0.2','0.027','0.062','0.02','0.103','0.104','0.27','0.022','0.076','0.064','0.086','0.079','0.053','0.419','0.207','0.051','0.062','0.075','0','0'),</v>
      </c>
    </row>
    <row r="137" spans="1:58" s="44" customFormat="1" ht="15.6">
      <c r="A137" s="98">
        <v>168917</v>
      </c>
      <c r="B137" s="44" t="s">
        <v>192</v>
      </c>
      <c r="C137" s="50" t="s">
        <v>311</v>
      </c>
      <c r="D137" s="50" t="s">
        <v>223</v>
      </c>
      <c r="E137" s="98">
        <v>100</v>
      </c>
      <c r="F137" s="46">
        <v>4.4000000000000004</v>
      </c>
      <c r="G137" s="46">
        <v>1.92</v>
      </c>
      <c r="H137" s="46">
        <v>21.3</v>
      </c>
      <c r="I137" s="46">
        <v>0.76</v>
      </c>
      <c r="J137" s="46">
        <v>120</v>
      </c>
      <c r="K137" s="46">
        <v>0.87</v>
      </c>
      <c r="L137" s="46">
        <v>2.8</v>
      </c>
      <c r="M137" s="46">
        <v>1.49</v>
      </c>
      <c r="N137" s="46">
        <v>64</v>
      </c>
      <c r="O137" s="46">
        <v>152</v>
      </c>
      <c r="P137" s="46">
        <v>172</v>
      </c>
      <c r="Q137" s="46">
        <v>7</v>
      </c>
      <c r="R137" s="46">
        <v>1.0900000000000001</v>
      </c>
      <c r="S137" s="46">
        <v>0.192</v>
      </c>
      <c r="T137" s="46">
        <v>0.63100000000000001</v>
      </c>
      <c r="U137" s="46">
        <v>2.8</v>
      </c>
      <c r="V137" s="46">
        <v>0</v>
      </c>
      <c r="W137" s="46">
        <v>0</v>
      </c>
      <c r="X137" s="46">
        <v>0</v>
      </c>
      <c r="Y137" s="46">
        <v>0</v>
      </c>
      <c r="Z137" s="46">
        <v>53</v>
      </c>
      <c r="AA137" s="44">
        <v>0</v>
      </c>
      <c r="AB137" s="46">
        <v>0.107</v>
      </c>
      <c r="AC137" s="46">
        <v>0.11</v>
      </c>
      <c r="AD137" s="62">
        <v>0.41199999999999998</v>
      </c>
      <c r="AE137" s="46">
        <v>0</v>
      </c>
      <c r="AF137" s="46">
        <v>0.123</v>
      </c>
      <c r="AG137" s="44">
        <v>0</v>
      </c>
      <c r="AH137" s="46">
        <v>23</v>
      </c>
      <c r="AI137" s="46">
        <v>0</v>
      </c>
      <c r="AJ137" s="46">
        <v>17</v>
      </c>
      <c r="AK137" s="46">
        <v>42</v>
      </c>
      <c r="AL137" s="46">
        <v>0</v>
      </c>
      <c r="AM137" s="46">
        <v>5.1999999999999998E-2</v>
      </c>
      <c r="AN137" s="46">
        <v>0.13100000000000001</v>
      </c>
      <c r="AO137" s="46">
        <v>0.157</v>
      </c>
      <c r="AP137" s="46">
        <v>0.26100000000000001</v>
      </c>
      <c r="AQ137" s="46">
        <v>0.23899999999999999</v>
      </c>
      <c r="AR137" s="46">
        <v>9.6000000000000002E-2</v>
      </c>
      <c r="AS137" s="46">
        <v>6.3E-2</v>
      </c>
      <c r="AT137" s="46">
        <v>0.185</v>
      </c>
      <c r="AU137" s="46">
        <v>8.3000000000000004E-2</v>
      </c>
      <c r="AV137" s="46">
        <v>0.185</v>
      </c>
      <c r="AW137" s="62">
        <v>0.34</v>
      </c>
      <c r="AX137" s="62">
        <v>0</v>
      </c>
      <c r="AY137" s="46">
        <v>0.35299999999999998</v>
      </c>
      <c r="AZ137" s="46">
        <v>0.57999999999999996</v>
      </c>
      <c r="BA137" s="46">
        <v>0.216</v>
      </c>
      <c r="BB137" s="46">
        <v>0.24</v>
      </c>
      <c r="BC137" s="46">
        <v>0.17599999999999999</v>
      </c>
      <c r="BD137" s="46">
        <v>0</v>
      </c>
      <c r="BE137" s="46">
        <v>0.23100000000000001</v>
      </c>
      <c r="BF137" s="44" t="str">
        <f t="shared" si="17"/>
        <v>new food('Quinoa cooked','Ingred','100 gm','100','4.4','1.92','21.3','0.76','120','0.87','2.8','1.49','64','152','172','7','1.09','0.192','0.631','2.8','0','0','0','0','53','0','0.107','0.11','0.412','0','0.123','0','23','0','17','42','0','0.052','0.131','0.157','0.261','0.239','0.096','0.063','0.185','0.083','0.185','0.34','0','0.353','0.58','0.216','0.24','0.176','0','0.231'),</v>
      </c>
    </row>
    <row r="138" spans="1:58" s="44" customFormat="1" ht="15.75" customHeight="1">
      <c r="A138" s="98">
        <v>170457</v>
      </c>
      <c r="B138" s="44" t="s">
        <v>109</v>
      </c>
      <c r="C138" s="50" t="s">
        <v>311</v>
      </c>
      <c r="D138" s="50" t="s">
        <v>221</v>
      </c>
      <c r="E138" s="98">
        <v>180</v>
      </c>
      <c r="F138" s="44">
        <v>0.88</v>
      </c>
      <c r="G138" s="45">
        <v>0.2</v>
      </c>
      <c r="H138" s="44">
        <v>3.89</v>
      </c>
      <c r="I138" s="45">
        <v>0.5</v>
      </c>
      <c r="J138" s="45">
        <v>18</v>
      </c>
      <c r="K138" s="45">
        <v>2.63</v>
      </c>
      <c r="L138" s="44">
        <v>1.2</v>
      </c>
      <c r="M138" s="45">
        <v>2.7E-2</v>
      </c>
      <c r="N138" s="45">
        <v>11</v>
      </c>
      <c r="O138" s="45">
        <v>24</v>
      </c>
      <c r="P138" s="45">
        <v>237</v>
      </c>
      <c r="Q138" s="45">
        <v>5</v>
      </c>
      <c r="R138" s="45">
        <v>0.17</v>
      </c>
      <c r="S138" s="45">
        <v>5.8000000000000003E-2</v>
      </c>
      <c r="T138" s="45">
        <v>0.114</v>
      </c>
      <c r="U138" s="45">
        <v>0</v>
      </c>
      <c r="V138" s="45">
        <v>0</v>
      </c>
      <c r="W138" s="45">
        <v>0.54</v>
      </c>
      <c r="X138" s="45">
        <v>0</v>
      </c>
      <c r="Y138" s="44">
        <v>0</v>
      </c>
      <c r="Z138" s="45">
        <v>123</v>
      </c>
      <c r="AA138" s="45">
        <v>13.7</v>
      </c>
      <c r="AB138" s="45">
        <v>3.6999999999999998E-2</v>
      </c>
      <c r="AC138" s="45">
        <v>1.9E-2</v>
      </c>
      <c r="AD138" s="44">
        <v>0.59399999999999997</v>
      </c>
      <c r="AE138" s="45">
        <v>8.8999999999999996E-2</v>
      </c>
      <c r="AF138" s="44">
        <v>0.08</v>
      </c>
      <c r="AG138" s="45"/>
      <c r="AH138" s="44">
        <v>6.7</v>
      </c>
      <c r="AI138" s="44">
        <v>7.3</v>
      </c>
      <c r="AJ138" s="44">
        <v>10</v>
      </c>
      <c r="AK138" s="44">
        <v>15</v>
      </c>
      <c r="AL138" s="44">
        <v>0.1</v>
      </c>
      <c r="AM138" s="45">
        <v>6.0000000000000001E-3</v>
      </c>
      <c r="AN138" s="45">
        <v>2.7E-2</v>
      </c>
      <c r="AO138" s="45">
        <v>1.7999999999999999E-2</v>
      </c>
      <c r="AP138" s="45">
        <v>2.5000000000000001E-2</v>
      </c>
      <c r="AQ138" s="45">
        <v>2.7E-2</v>
      </c>
      <c r="AR138" s="45">
        <v>6.0000000000000001E-3</v>
      </c>
      <c r="AS138" s="44">
        <v>8.0000000000000002E-3</v>
      </c>
      <c r="AT138" s="45">
        <v>2.7E-2</v>
      </c>
      <c r="AU138" s="45">
        <v>1.4E-2</v>
      </c>
      <c r="AV138" s="45">
        <v>1.7999999999999999E-2</v>
      </c>
      <c r="AW138" s="44">
        <v>2.1000000000000001E-2</v>
      </c>
      <c r="AX138" s="45">
        <v>2.7E-2</v>
      </c>
      <c r="AY138" s="45">
        <v>0.13500000000000001</v>
      </c>
      <c r="AZ138" s="45">
        <v>4.3099999999999999E-2</v>
      </c>
      <c r="BA138" s="45">
        <v>1.9E-2</v>
      </c>
      <c r="BB138" s="45">
        <v>1.4999999999999999E-2</v>
      </c>
      <c r="BC138" s="45">
        <v>2.5999999999999999E-2</v>
      </c>
      <c r="BD138" s="45">
        <v>0</v>
      </c>
      <c r="BE138" s="44">
        <v>3.1E-2</v>
      </c>
      <c r="BF138" s="44" t="str">
        <f t="shared" si="17"/>
        <v>new food('Tomatoes red','Ingred','1 cup','180','0.88','0.2','3.89','0.5','18','2.63','1.2','0.027','11','24','237','5','0.17','0.058','0.114','0','0','0.54','0','0','123','13.7','0.037','0.019','0.594','0.089','0.08','','6.7','7.3','10','15','0.1','0.006','0.027','0.018','0.025','0.027','0.006','0.008','0.027','0.014','0.018','0.021','0.027','0.135','0.0431','0.019','0.015','0.026','0','0.031'),</v>
      </c>
    </row>
    <row r="139" spans="1:58">
      <c r="F139" s="35">
        <f>SUM(F121:F138)/6</f>
        <v>10.370000000000001</v>
      </c>
      <c r="G139" s="35">
        <f t="shared" ref="G139:BE139" si="18">SUM(G121:G138)/6</f>
        <v>5.5116666666666676</v>
      </c>
      <c r="H139" s="35">
        <f t="shared" si="18"/>
        <v>24.818333333333332</v>
      </c>
      <c r="I139" s="35">
        <f t="shared" si="18"/>
        <v>0.75</v>
      </c>
      <c r="J139" s="35">
        <f t="shared" si="18"/>
        <v>240.04166666666666</v>
      </c>
      <c r="K139" s="35">
        <f t="shared" si="18"/>
        <v>4.54</v>
      </c>
      <c r="L139" s="35">
        <f t="shared" si="18"/>
        <v>5.3633333333333333</v>
      </c>
      <c r="M139" s="35">
        <f t="shared" si="18"/>
        <v>2.3511666666666664</v>
      </c>
      <c r="N139" s="35">
        <f t="shared" si="18"/>
        <v>59.583333333333336</v>
      </c>
      <c r="O139" s="35">
        <f t="shared" si="18"/>
        <v>176.83333333333334</v>
      </c>
      <c r="P139" s="35">
        <f t="shared" si="18"/>
        <v>537.375</v>
      </c>
      <c r="Q139" s="35">
        <f t="shared" si="18"/>
        <v>260.95833333333331</v>
      </c>
      <c r="R139" s="35">
        <f t="shared" si="18"/>
        <v>1.4650000000000001</v>
      </c>
      <c r="S139" s="35">
        <f t="shared" si="18"/>
        <v>0.25883333333333336</v>
      </c>
      <c r="T139" s="35">
        <f t="shared" si="18"/>
        <v>0.31950000000000006</v>
      </c>
      <c r="U139" s="35">
        <f t="shared" si="18"/>
        <v>8.2903333333333329</v>
      </c>
      <c r="V139" s="35">
        <f t="shared" si="18"/>
        <v>6</v>
      </c>
      <c r="W139" s="35">
        <f t="shared" si="18"/>
        <v>1.2150000000000001</v>
      </c>
      <c r="X139" s="35">
        <f t="shared" si="18"/>
        <v>0.66666666666666663</v>
      </c>
      <c r="Y139" s="35">
        <f t="shared" si="18"/>
        <v>35.666666666666664</v>
      </c>
      <c r="Z139" s="35">
        <f t="shared" si="18"/>
        <v>2200.9166666666665</v>
      </c>
      <c r="AA139" s="35">
        <f t="shared" si="18"/>
        <v>31.471666666666668</v>
      </c>
      <c r="AB139" s="35">
        <f t="shared" si="18"/>
        <v>0.23950000000000005</v>
      </c>
      <c r="AC139" s="35">
        <f t="shared" si="18"/>
        <v>0.22283333333333333</v>
      </c>
      <c r="AD139" s="35">
        <f t="shared" si="18"/>
        <v>3.2571666666666665</v>
      </c>
      <c r="AE139" s="35">
        <f t="shared" si="18"/>
        <v>0.24283333333333335</v>
      </c>
      <c r="AF139" s="35">
        <f t="shared" si="18"/>
        <v>0.34699999999999998</v>
      </c>
      <c r="AG139" s="35">
        <f t="shared" si="18"/>
        <v>0.12</v>
      </c>
      <c r="AH139" s="35">
        <f t="shared" si="18"/>
        <v>48.271666666666668</v>
      </c>
      <c r="AI139" s="35">
        <f t="shared" si="18"/>
        <v>143.31333333333333</v>
      </c>
      <c r="AJ139" s="35">
        <f t="shared" si="18"/>
        <v>71.416666666666671</v>
      </c>
      <c r="AK139" s="35">
        <f t="shared" si="18"/>
        <v>96.25</v>
      </c>
      <c r="AL139" s="35">
        <f t="shared" si="18"/>
        <v>3.3000000000000003</v>
      </c>
      <c r="AM139" s="35">
        <f t="shared" si="18"/>
        <v>3.9333333333333331E-2</v>
      </c>
      <c r="AN139" s="35">
        <f t="shared" si="18"/>
        <v>0.13116666666666668</v>
      </c>
      <c r="AO139" s="35">
        <f t="shared" si="18"/>
        <v>0.14133333333333334</v>
      </c>
      <c r="AP139" s="35">
        <f t="shared" si="18"/>
        <v>0.24949999999999997</v>
      </c>
      <c r="AQ139" s="35">
        <f t="shared" si="18"/>
        <v>0.18966666666666665</v>
      </c>
      <c r="AR139" s="35">
        <f t="shared" si="18"/>
        <v>0.10849999999999999</v>
      </c>
      <c r="AS139" s="35">
        <f t="shared" si="18"/>
        <v>8.1166666666666679E-2</v>
      </c>
      <c r="AT139" s="35">
        <f t="shared" si="18"/>
        <v>0.16216666666666665</v>
      </c>
      <c r="AU139" s="35">
        <f t="shared" si="18"/>
        <v>9.3166666666666662E-2</v>
      </c>
      <c r="AV139" s="35">
        <f t="shared" si="18"/>
        <v>0.17849999999999999</v>
      </c>
      <c r="AW139" s="35">
        <f t="shared" si="18"/>
        <v>0.22599999999999998</v>
      </c>
      <c r="AX139" s="35">
        <f t="shared" si="18"/>
        <v>0.13250000000000001</v>
      </c>
      <c r="AY139" s="35">
        <f t="shared" si="18"/>
        <v>0.40449999999999992</v>
      </c>
      <c r="AZ139" s="35">
        <f t="shared" si="18"/>
        <v>0.66801666666666659</v>
      </c>
      <c r="BA139" s="35">
        <f t="shared" si="18"/>
        <v>0.13833333333333334</v>
      </c>
      <c r="BB139" s="35">
        <f t="shared" si="18"/>
        <v>0.22583333333333333</v>
      </c>
      <c r="BC139" s="35">
        <f t="shared" si="18"/>
        <v>1.5903333333333334</v>
      </c>
      <c r="BD139" s="35">
        <f t="shared" si="18"/>
        <v>20.25</v>
      </c>
      <c r="BE139" s="35">
        <f t="shared" si="18"/>
        <v>1.8839999999999995</v>
      </c>
    </row>
    <row r="140" spans="1:58" ht="15.6">
      <c r="F140" s="44">
        <v>10.37</v>
      </c>
      <c r="G140" s="46">
        <v>5.51</v>
      </c>
      <c r="H140" s="44">
        <v>24.82</v>
      </c>
      <c r="I140" s="46">
        <v>0.75</v>
      </c>
      <c r="J140" s="46">
        <v>240.04</v>
      </c>
      <c r="K140" s="46">
        <v>4.54</v>
      </c>
      <c r="L140" s="44">
        <v>5.36</v>
      </c>
      <c r="M140" s="46">
        <v>2.35</v>
      </c>
      <c r="N140" s="46">
        <v>59.58</v>
      </c>
      <c r="O140" s="46">
        <v>176.83</v>
      </c>
      <c r="P140" s="46">
        <v>537.38</v>
      </c>
      <c r="Q140" s="46">
        <v>260.95999999999998</v>
      </c>
      <c r="R140" s="46">
        <v>1.47</v>
      </c>
      <c r="S140" s="46">
        <v>0.26</v>
      </c>
      <c r="T140" s="46">
        <v>0.32</v>
      </c>
      <c r="U140" s="46">
        <v>8.2899999999999991</v>
      </c>
      <c r="V140" s="46">
        <v>6</v>
      </c>
      <c r="W140" s="46">
        <v>1.22</v>
      </c>
      <c r="X140" s="46">
        <v>0.67</v>
      </c>
      <c r="Y140" s="44">
        <v>35.67</v>
      </c>
      <c r="AA140" s="46">
        <v>31.47</v>
      </c>
      <c r="AB140" s="46">
        <v>0.24</v>
      </c>
      <c r="AC140" s="46">
        <v>0.22</v>
      </c>
      <c r="AD140" s="44">
        <v>3.26</v>
      </c>
      <c r="AE140" s="46">
        <v>0.24</v>
      </c>
      <c r="AF140" s="44">
        <v>0.35</v>
      </c>
      <c r="AG140" s="46">
        <v>0.12</v>
      </c>
      <c r="AH140" s="44">
        <v>57.27</v>
      </c>
      <c r="AI140" s="44">
        <v>143.31</v>
      </c>
      <c r="AJ140" s="44">
        <v>71.42</v>
      </c>
      <c r="AK140" s="44">
        <v>96.25</v>
      </c>
      <c r="AL140" s="44">
        <v>3.3</v>
      </c>
      <c r="AM140" s="46">
        <v>0.04</v>
      </c>
      <c r="AN140" s="46">
        <v>0.13</v>
      </c>
      <c r="AO140" s="46">
        <v>0.14000000000000001</v>
      </c>
      <c r="AP140" s="46">
        <v>0.25</v>
      </c>
      <c r="AQ140" s="46">
        <v>0.19</v>
      </c>
      <c r="AR140" s="46">
        <v>0.11</v>
      </c>
      <c r="AS140" s="44">
        <v>0.08</v>
      </c>
      <c r="AT140" s="46">
        <v>0.16</v>
      </c>
      <c r="AU140" s="46">
        <v>0.09</v>
      </c>
      <c r="AV140" s="46">
        <v>0.18</v>
      </c>
      <c r="AW140" s="44">
        <v>0.23</v>
      </c>
      <c r="AX140" s="46">
        <v>0.13</v>
      </c>
      <c r="AY140" s="46">
        <v>0.4</v>
      </c>
      <c r="AZ140" s="46">
        <v>0.6</v>
      </c>
      <c r="BA140" s="46">
        <v>0.14000000000000001</v>
      </c>
      <c r="BB140" s="46">
        <v>0.23</v>
      </c>
      <c r="BC140" s="46">
        <v>1.59</v>
      </c>
      <c r="BD140" s="46">
        <v>20.25</v>
      </c>
      <c r="BE140" s="44">
        <v>1.89</v>
      </c>
    </row>
    <row r="146" spans="1:58" s="44" customFormat="1" ht="15" customHeight="1">
      <c r="A146" s="97">
        <v>170285</v>
      </c>
      <c r="B146" s="57" t="s">
        <v>80</v>
      </c>
      <c r="C146" s="50" t="s">
        <v>311</v>
      </c>
      <c r="D146" s="58" t="s">
        <v>221</v>
      </c>
      <c r="E146" s="99">
        <v>157</v>
      </c>
      <c r="F146" s="57">
        <v>2.2599999999999998</v>
      </c>
      <c r="G146" s="44">
        <v>0.44</v>
      </c>
      <c r="H146" s="44">
        <v>28.22</v>
      </c>
      <c r="I146" s="61">
        <v>0.27</v>
      </c>
      <c r="J146" s="44">
        <v>123</v>
      </c>
      <c r="K146" s="44">
        <v>0.28000000000000003</v>
      </c>
      <c r="L146" s="44">
        <v>3.8</v>
      </c>
      <c r="M146" s="44">
        <v>1.33</v>
      </c>
      <c r="N146" s="44">
        <v>22</v>
      </c>
      <c r="O146" s="44">
        <v>54</v>
      </c>
      <c r="P146" s="44">
        <v>93</v>
      </c>
      <c r="Q146" s="44">
        <v>3</v>
      </c>
      <c r="R146" s="44">
        <v>0.82</v>
      </c>
      <c r="S146" s="44">
        <v>0.105</v>
      </c>
      <c r="T146" s="44">
        <v>0.25900000000000001</v>
      </c>
      <c r="U146" s="44">
        <v>8.6</v>
      </c>
      <c r="V146" s="56">
        <v>0</v>
      </c>
      <c r="W146" s="57">
        <v>0.01</v>
      </c>
      <c r="X146" s="44">
        <v>0</v>
      </c>
      <c r="Y146" s="44">
        <v>0</v>
      </c>
      <c r="Z146" s="44">
        <v>56</v>
      </c>
      <c r="AA146" s="44">
        <v>0</v>
      </c>
      <c r="AB146" s="44">
        <v>8.3000000000000004E-2</v>
      </c>
      <c r="AC146" s="57">
        <v>6.2E-2</v>
      </c>
      <c r="AD146" s="44">
        <v>2.0630000000000002</v>
      </c>
      <c r="AE146" s="44">
        <v>0.13500000000000001</v>
      </c>
      <c r="AF146" s="44">
        <v>0.115</v>
      </c>
      <c r="AG146" s="44">
        <v>0</v>
      </c>
      <c r="AH146" s="44">
        <v>13.4</v>
      </c>
      <c r="AI146" s="44">
        <v>0.8</v>
      </c>
      <c r="AJ146" s="44">
        <v>11</v>
      </c>
      <c r="AK146" s="44">
        <v>16</v>
      </c>
      <c r="AL146" s="61">
        <v>0</v>
      </c>
      <c r="AM146" s="44">
        <v>3.7999999999999999E-2</v>
      </c>
      <c r="AN146" s="44">
        <v>7.6999999999999999E-2</v>
      </c>
      <c r="AO146" s="44">
        <v>8.3000000000000004E-2</v>
      </c>
      <c r="AP146" s="44">
        <v>0.154</v>
      </c>
      <c r="AQ146" s="44">
        <v>8.4000000000000005E-2</v>
      </c>
      <c r="AR146" s="44">
        <v>4.2999999999999997E-2</v>
      </c>
      <c r="AS146" s="44">
        <v>0.05</v>
      </c>
      <c r="AT146" s="44">
        <v>0.127</v>
      </c>
      <c r="AU146" s="44">
        <v>6.5000000000000002E-2</v>
      </c>
      <c r="AV146" s="44">
        <v>0.111</v>
      </c>
      <c r="AW146" s="63">
        <v>0.113</v>
      </c>
      <c r="AX146" s="57">
        <v>8.7999999999999995E-2</v>
      </c>
      <c r="AY146" s="63">
        <v>1.41</v>
      </c>
      <c r="AZ146" s="63">
        <v>0.59099999999999997</v>
      </c>
      <c r="BA146" s="57">
        <v>8.2000000000000003E-2</v>
      </c>
      <c r="BB146" s="56">
        <v>0.26900000000000002</v>
      </c>
      <c r="BC146" s="44">
        <v>9.5000000000000001E-2</v>
      </c>
      <c r="BD146" s="44">
        <v>0</v>
      </c>
      <c r="BE146" s="44">
        <v>5.7000000000000002E-2</v>
      </c>
      <c r="BF146" s="44" t="str">
        <f>"new food('"&amp;B146&amp;"','"&amp;C146&amp;"','"&amp;D146&amp;"','"&amp;E146&amp;"','"&amp;F146&amp;"','"&amp;G146&amp;"','"&amp;H146&amp;"','"&amp;I146&amp;"','"&amp;J146&amp;"','"&amp;K146&amp;"','"&amp;L146&amp;"','"&amp;M146&amp;"','"&amp;N146&amp;"','"&amp;O146&amp;"','"&amp;P146&amp;"','"&amp;Q146&amp;"','"&amp;R146&amp;"','"&amp;S146&amp;"','"&amp;T146&amp;"','"&amp;U146&amp;"','"&amp;V146&amp;"','"&amp;W146&amp;"','"&amp;X146&amp;"','"&amp;Y146&amp;"','"&amp;Z146&amp;"','"&amp;AA146&amp;"','"&amp;AB146&amp;"','"&amp;AC146&amp;"','"&amp;AD146&amp;"','"&amp;AE146&amp;"','"&amp;AF146&amp;"','"&amp;AG146&amp;"','"&amp;AH146&amp;"','"&amp;AI146&amp;"','"&amp;AJ146&amp;"','"&amp;AK146&amp;"','"&amp;AL146&amp;"','"&amp;AM146&amp;"','"&amp;AN146&amp;"','"&amp;AO146&amp;"','"&amp;AP146&amp;"','"&amp;AQ146&amp;"','"&amp;AR146&amp;"','"&amp;AS146&amp;"','"&amp;AT146&amp;"','"&amp;AU146&amp;"','"&amp;AV146&amp;"','"&amp;AW146&amp;"','"&amp;AX146&amp;"','"&amp;AY146&amp;"','"&amp;AZ146&amp;"','"&amp;BA146&amp;"','"&amp;BB146&amp;"','"&amp;BC146&amp;"','"&amp;BD146&amp;"','"&amp;BE146&amp;"'),"</f>
        <v>new food('Barley pearled cooked','Ingred','1 cup','157','2.26','0.44','28.22','0.27','123','0.28','3.8','1.33','22','54','93','3','0.82','0.105','0.259','8.6','0','0.01','0','0','56','0','0.083','0.062','2.063','0.135','0.115','0','13.4','0.8','11','16','0','0.038','0.077','0.083','0.154','0.084','0.043','0.05','0.127','0.065','0.111','0.113','0.088','1.41','0.591','0.082','0.269','0.095','0','0.057'),</v>
      </c>
    </row>
    <row r="147" spans="1:58" s="44" customFormat="1" ht="15" customHeight="1">
      <c r="A147" s="56"/>
      <c r="B147" s="57"/>
      <c r="C147" s="50"/>
      <c r="D147" s="58" t="s">
        <v>225</v>
      </c>
      <c r="E147" s="63">
        <f>E146/4</f>
        <v>39.25</v>
      </c>
      <c r="F147" s="63">
        <f t="shared" ref="F147:BE147" si="19">F146/4</f>
        <v>0.56499999999999995</v>
      </c>
      <c r="G147" s="63">
        <f t="shared" si="19"/>
        <v>0.11</v>
      </c>
      <c r="H147" s="63">
        <f t="shared" si="19"/>
        <v>7.0549999999999997</v>
      </c>
      <c r="I147" s="63">
        <f t="shared" si="19"/>
        <v>6.7500000000000004E-2</v>
      </c>
      <c r="J147" s="63">
        <f t="shared" si="19"/>
        <v>30.75</v>
      </c>
      <c r="K147" s="63">
        <f t="shared" si="19"/>
        <v>7.0000000000000007E-2</v>
      </c>
      <c r="L147" s="63">
        <f t="shared" si="19"/>
        <v>0.95</v>
      </c>
      <c r="M147" s="63">
        <f t="shared" si="19"/>
        <v>0.33250000000000002</v>
      </c>
      <c r="N147" s="63">
        <f t="shared" si="19"/>
        <v>5.5</v>
      </c>
      <c r="O147" s="63">
        <f t="shared" si="19"/>
        <v>13.5</v>
      </c>
      <c r="P147" s="63">
        <f t="shared" si="19"/>
        <v>23.25</v>
      </c>
      <c r="Q147" s="63">
        <f t="shared" si="19"/>
        <v>0.75</v>
      </c>
      <c r="R147" s="63">
        <f t="shared" si="19"/>
        <v>0.20499999999999999</v>
      </c>
      <c r="S147" s="63">
        <f t="shared" si="19"/>
        <v>2.6249999999999999E-2</v>
      </c>
      <c r="T147" s="63">
        <f t="shared" si="19"/>
        <v>6.4750000000000002E-2</v>
      </c>
      <c r="U147" s="63">
        <f t="shared" si="19"/>
        <v>2.15</v>
      </c>
      <c r="V147" s="63">
        <f t="shared" si="19"/>
        <v>0</v>
      </c>
      <c r="W147" s="63">
        <f t="shared" si="19"/>
        <v>2.5000000000000001E-3</v>
      </c>
      <c r="X147" s="63">
        <f t="shared" si="19"/>
        <v>0</v>
      </c>
      <c r="Y147" s="63">
        <f t="shared" si="19"/>
        <v>0</v>
      </c>
      <c r="Z147" s="63">
        <f t="shared" si="19"/>
        <v>14</v>
      </c>
      <c r="AA147" s="63">
        <f t="shared" si="19"/>
        <v>0</v>
      </c>
      <c r="AB147" s="63">
        <f t="shared" si="19"/>
        <v>2.0750000000000001E-2</v>
      </c>
      <c r="AC147" s="63">
        <f t="shared" si="19"/>
        <v>1.55E-2</v>
      </c>
      <c r="AD147" s="63">
        <f t="shared" si="19"/>
        <v>0.51575000000000004</v>
      </c>
      <c r="AE147" s="63">
        <f t="shared" si="19"/>
        <v>3.3750000000000002E-2</v>
      </c>
      <c r="AF147" s="63">
        <f t="shared" si="19"/>
        <v>2.8750000000000001E-2</v>
      </c>
      <c r="AG147" s="63">
        <f t="shared" si="19"/>
        <v>0</v>
      </c>
      <c r="AH147" s="63">
        <f t="shared" si="19"/>
        <v>3.35</v>
      </c>
      <c r="AI147" s="63">
        <f t="shared" si="19"/>
        <v>0.2</v>
      </c>
      <c r="AJ147" s="63">
        <f t="shared" si="19"/>
        <v>2.75</v>
      </c>
      <c r="AK147" s="63">
        <f t="shared" si="19"/>
        <v>4</v>
      </c>
      <c r="AL147" s="63">
        <f t="shared" si="19"/>
        <v>0</v>
      </c>
      <c r="AM147" s="63">
        <f t="shared" si="19"/>
        <v>9.4999999999999998E-3</v>
      </c>
      <c r="AN147" s="63">
        <f t="shared" si="19"/>
        <v>1.925E-2</v>
      </c>
      <c r="AO147" s="63">
        <f t="shared" si="19"/>
        <v>2.0750000000000001E-2</v>
      </c>
      <c r="AP147" s="63">
        <f t="shared" si="19"/>
        <v>3.85E-2</v>
      </c>
      <c r="AQ147" s="63">
        <f t="shared" si="19"/>
        <v>2.1000000000000001E-2</v>
      </c>
      <c r="AR147" s="63">
        <f t="shared" si="19"/>
        <v>1.0749999999999999E-2</v>
      </c>
      <c r="AS147" s="63">
        <f t="shared" si="19"/>
        <v>1.2500000000000001E-2</v>
      </c>
      <c r="AT147" s="63">
        <f t="shared" si="19"/>
        <v>3.175E-2</v>
      </c>
      <c r="AU147" s="63">
        <f t="shared" si="19"/>
        <v>1.6250000000000001E-2</v>
      </c>
      <c r="AV147" s="63">
        <f t="shared" si="19"/>
        <v>2.775E-2</v>
      </c>
      <c r="AW147" s="63">
        <f t="shared" si="19"/>
        <v>2.8250000000000001E-2</v>
      </c>
      <c r="AX147" s="63">
        <f t="shared" si="19"/>
        <v>2.1999999999999999E-2</v>
      </c>
      <c r="AY147" s="63">
        <f t="shared" si="19"/>
        <v>0.35249999999999998</v>
      </c>
      <c r="AZ147" s="63">
        <f t="shared" si="19"/>
        <v>0.14774999999999999</v>
      </c>
      <c r="BA147" s="63">
        <f t="shared" si="19"/>
        <v>2.0500000000000001E-2</v>
      </c>
      <c r="BB147" s="63">
        <f t="shared" si="19"/>
        <v>6.7250000000000004E-2</v>
      </c>
      <c r="BC147" s="63">
        <f t="shared" si="19"/>
        <v>2.375E-2</v>
      </c>
      <c r="BD147" s="63">
        <f t="shared" si="19"/>
        <v>0</v>
      </c>
      <c r="BE147" s="63">
        <f t="shared" si="19"/>
        <v>1.4250000000000001E-2</v>
      </c>
    </row>
    <row r="148" spans="1:58" s="44" customFormat="1" ht="15" customHeight="1">
      <c r="A148" s="98"/>
      <c r="C148" s="50"/>
      <c r="D148" s="50"/>
      <c r="E148" s="98">
        <v>39.25</v>
      </c>
      <c r="F148" s="45">
        <v>0.56999999999999995</v>
      </c>
      <c r="G148" s="44">
        <v>0.11</v>
      </c>
      <c r="H148" s="44">
        <v>7.06</v>
      </c>
      <c r="I148" s="44">
        <v>7.0000000000000007E-2</v>
      </c>
      <c r="J148" s="44">
        <v>30.75</v>
      </c>
      <c r="K148" s="44">
        <v>0.02</v>
      </c>
      <c r="L148" s="45">
        <v>0.95</v>
      </c>
      <c r="M148" s="44">
        <v>0.33</v>
      </c>
      <c r="N148" s="44">
        <v>5.5</v>
      </c>
      <c r="O148" s="45">
        <v>13.5</v>
      </c>
      <c r="P148" s="44">
        <v>23.25</v>
      </c>
      <c r="Q148" s="44">
        <v>0.75</v>
      </c>
      <c r="R148" s="45">
        <v>0.21</v>
      </c>
      <c r="S148" s="44">
        <v>0.03</v>
      </c>
      <c r="T148" s="44">
        <v>0.06</v>
      </c>
      <c r="U148" s="44">
        <v>2.15</v>
      </c>
      <c r="V148" s="44">
        <v>0</v>
      </c>
      <c r="W148" s="44">
        <v>0</v>
      </c>
      <c r="X148" s="44">
        <v>0</v>
      </c>
      <c r="Y148" s="44">
        <v>0</v>
      </c>
      <c r="Z148" s="44">
        <v>14</v>
      </c>
      <c r="AA148" s="44">
        <v>0</v>
      </c>
      <c r="AB148" s="44">
        <v>0.02</v>
      </c>
      <c r="AC148" s="44">
        <v>0.02</v>
      </c>
      <c r="AD148" s="44">
        <v>0.52</v>
      </c>
      <c r="AE148" s="45">
        <v>0.03</v>
      </c>
      <c r="AF148" s="44">
        <v>0.03</v>
      </c>
      <c r="AG148" s="44">
        <v>0</v>
      </c>
      <c r="AH148" s="44">
        <v>3.35</v>
      </c>
      <c r="AI148" s="44">
        <v>0.2</v>
      </c>
      <c r="AJ148" s="44">
        <v>2.75</v>
      </c>
      <c r="AK148" s="44">
        <v>4</v>
      </c>
      <c r="AL148" s="44">
        <v>0</v>
      </c>
      <c r="AM148" s="45">
        <v>0.01</v>
      </c>
      <c r="AN148" s="44">
        <v>0.02</v>
      </c>
      <c r="AO148" s="44">
        <v>0.02</v>
      </c>
      <c r="AP148" s="45">
        <v>0.04</v>
      </c>
      <c r="AQ148" s="44">
        <v>0.02</v>
      </c>
      <c r="AR148" s="44">
        <v>0.01</v>
      </c>
      <c r="AS148" s="44">
        <v>0.01</v>
      </c>
      <c r="AT148" s="44">
        <v>0.03</v>
      </c>
      <c r="AU148" s="44">
        <v>0.02</v>
      </c>
      <c r="AV148" s="44">
        <v>0.03</v>
      </c>
      <c r="AW148" s="44">
        <v>0.03</v>
      </c>
      <c r="AX148" s="45">
        <v>0.02</v>
      </c>
      <c r="AY148" s="45">
        <v>0.35</v>
      </c>
      <c r="AZ148" s="44">
        <v>0.15</v>
      </c>
      <c r="BA148" s="44">
        <v>0.02</v>
      </c>
      <c r="BB148" s="44">
        <v>7.0000000000000007E-2</v>
      </c>
      <c r="BC148" s="44">
        <v>0.02</v>
      </c>
      <c r="BD148" s="44">
        <v>0</v>
      </c>
      <c r="BE148" s="44">
        <v>0.01</v>
      </c>
    </row>
    <row r="149" spans="1:58" s="44" customFormat="1" ht="15" customHeight="1">
      <c r="A149" s="98"/>
      <c r="C149" s="50"/>
      <c r="D149" s="50"/>
      <c r="E149" s="98"/>
      <c r="F149" s="45"/>
      <c r="L149" s="45"/>
      <c r="O149" s="45"/>
      <c r="R149" s="45"/>
      <c r="AE149" s="45"/>
      <c r="AM149" s="45"/>
      <c r="AP149" s="45"/>
      <c r="AX149" s="45"/>
      <c r="AY149" s="45"/>
    </row>
    <row r="150" spans="1:58" s="44" customFormat="1" ht="15" customHeight="1">
      <c r="A150" s="98">
        <v>172421</v>
      </c>
      <c r="B150" s="44" t="s">
        <v>335</v>
      </c>
      <c r="C150" s="50" t="s">
        <v>311</v>
      </c>
      <c r="D150" s="58" t="s">
        <v>221</v>
      </c>
      <c r="E150" s="98">
        <v>198</v>
      </c>
      <c r="F150" s="62">
        <v>9.07</v>
      </c>
      <c r="G150" s="46">
        <v>0.38</v>
      </c>
      <c r="H150" s="46">
        <v>20.13</v>
      </c>
      <c r="I150" s="46">
        <v>0</v>
      </c>
      <c r="J150" s="46">
        <v>116</v>
      </c>
      <c r="K150" s="46">
        <v>1.8</v>
      </c>
      <c r="L150" s="46">
        <v>7.9</v>
      </c>
      <c r="M150" s="46">
        <v>3.33</v>
      </c>
      <c r="N150" s="46">
        <v>36</v>
      </c>
      <c r="O150" s="46">
        <v>180</v>
      </c>
      <c r="P150" s="46">
        <v>369</v>
      </c>
      <c r="Q150" s="46">
        <v>2</v>
      </c>
      <c r="R150" s="46">
        <v>1.27</v>
      </c>
      <c r="S150" s="46">
        <v>0.251</v>
      </c>
      <c r="T150" s="46">
        <v>0</v>
      </c>
      <c r="U150" s="46">
        <v>2.8</v>
      </c>
      <c r="V150" s="46">
        <v>0</v>
      </c>
      <c r="W150" s="46">
        <v>0.11</v>
      </c>
      <c r="X150" s="46">
        <v>0</v>
      </c>
      <c r="Y150" s="46">
        <v>0</v>
      </c>
      <c r="Z150" s="46">
        <v>0</v>
      </c>
      <c r="AA150" s="46">
        <v>1.5</v>
      </c>
      <c r="AB150" s="46">
        <v>0.16900000000000001</v>
      </c>
      <c r="AC150" s="46">
        <v>7.0000000000000007E-2</v>
      </c>
      <c r="AD150" s="46">
        <v>1.06</v>
      </c>
      <c r="AE150" s="46">
        <v>0</v>
      </c>
      <c r="AF150" s="46">
        <v>0.17799999999999999</v>
      </c>
      <c r="AG150" s="46">
        <v>0</v>
      </c>
      <c r="AH150" s="46">
        <v>32.700000000000003</v>
      </c>
      <c r="AI150" s="46">
        <v>1.7</v>
      </c>
      <c r="AJ150" s="46">
        <v>181</v>
      </c>
      <c r="AK150" s="46">
        <v>0</v>
      </c>
      <c r="AL150" s="46">
        <v>0</v>
      </c>
      <c r="AM150" s="46">
        <v>0</v>
      </c>
      <c r="AN150" s="46">
        <v>0</v>
      </c>
      <c r="AO150" s="46">
        <v>0</v>
      </c>
      <c r="AP150" s="46">
        <v>0</v>
      </c>
      <c r="AQ150" s="46">
        <v>0</v>
      </c>
      <c r="AR150" s="46">
        <v>0</v>
      </c>
      <c r="AS150" s="46">
        <v>0</v>
      </c>
      <c r="AT150" s="46">
        <v>0</v>
      </c>
      <c r="AU150" s="46">
        <v>0</v>
      </c>
      <c r="AV150" s="46">
        <v>0</v>
      </c>
      <c r="AW150" s="46">
        <v>0</v>
      </c>
      <c r="AX150" s="46">
        <v>0</v>
      </c>
      <c r="AY150" s="46">
        <v>0</v>
      </c>
      <c r="AZ150" s="46">
        <v>0</v>
      </c>
      <c r="BA150" s="46">
        <v>0</v>
      </c>
      <c r="BB150" s="46">
        <v>0</v>
      </c>
      <c r="BC150" s="46">
        <v>0</v>
      </c>
      <c r="BD150" s="46">
        <v>0</v>
      </c>
      <c r="BE150" s="46">
        <v>0.06</v>
      </c>
      <c r="BF150" s="44" t="str">
        <f>"new food('"&amp;B150&amp;"','"&amp;C150&amp;"','"&amp;D150&amp;"','"&amp;E150&amp;"','"&amp;F150&amp;"','"&amp;G150&amp;"','"&amp;H150&amp;"','"&amp;I150&amp;"','"&amp;J150&amp;"','"&amp;K150&amp;"','"&amp;L150&amp;"','"&amp;M150&amp;"','"&amp;N150&amp;"','"&amp;O150&amp;"','"&amp;P150&amp;"','"&amp;Q150&amp;"','"&amp;R150&amp;"','"&amp;S150&amp;"','"&amp;T150&amp;"','"&amp;U150&amp;"','"&amp;V150&amp;"','"&amp;W150&amp;"','"&amp;X150&amp;"','"&amp;Y150&amp;"','"&amp;Z150&amp;"','"&amp;AA150&amp;"','"&amp;AB150&amp;"','"&amp;AC150&amp;"','"&amp;AD150&amp;"','"&amp;AE150&amp;"','"&amp;AF150&amp;"','"&amp;AG150&amp;"','"&amp;AH150&amp;"','"&amp;AI150&amp;"','"&amp;AJ150&amp;"','"&amp;AK150&amp;"','"&amp;AL150&amp;"','"&amp;AM150&amp;"','"&amp;AN150&amp;"','"&amp;AO150&amp;"','"&amp;AP150&amp;"','"&amp;AQ150&amp;"','"&amp;AR150&amp;"','"&amp;AS150&amp;"','"&amp;AT150&amp;"','"&amp;AU150&amp;"','"&amp;AV150&amp;"','"&amp;AW150&amp;"','"&amp;AX150&amp;"','"&amp;AY150&amp;"','"&amp;AZ150&amp;"','"&amp;BA150&amp;"','"&amp;BB150&amp;"','"&amp;BC150&amp;"','"&amp;BD150&amp;"','"&amp;BE150&amp;"'),"</f>
        <v>new food('Lentils boiled','Ingred','1 cup','198','9.07','0.38','20.13','0','116','1.8','7.9','3.33','36','180','369','2','1.27','0.251','0','2.8','0','0.11','0','0','0','1.5','0.169','0.07','1.06','0','0.178','0','32.7','1.7','181','0','0','0','0','0','0','0','0','0','0','0','0','0','0','0','0','0','0','0','0','0.06'),</v>
      </c>
    </row>
    <row r="151" spans="1:58" s="35" customFormat="1" ht="15.6">
      <c r="A151" s="44"/>
      <c r="B151" s="44"/>
      <c r="C151" s="44"/>
      <c r="D151" s="44" t="s">
        <v>225</v>
      </c>
      <c r="E151" s="44">
        <f>E150/4</f>
        <v>49.5</v>
      </c>
      <c r="F151" s="44">
        <f t="shared" ref="F151:BE151" si="20">F150/4</f>
        <v>2.2675000000000001</v>
      </c>
      <c r="G151" s="44">
        <f t="shared" si="20"/>
        <v>9.5000000000000001E-2</v>
      </c>
      <c r="H151" s="44">
        <f t="shared" si="20"/>
        <v>5.0324999999999998</v>
      </c>
      <c r="I151" s="44">
        <f t="shared" si="20"/>
        <v>0</v>
      </c>
      <c r="J151" s="44">
        <f t="shared" si="20"/>
        <v>29</v>
      </c>
      <c r="K151" s="44">
        <f t="shared" si="20"/>
        <v>0.45</v>
      </c>
      <c r="L151" s="44">
        <f t="shared" si="20"/>
        <v>1.9750000000000001</v>
      </c>
      <c r="M151" s="44">
        <f t="shared" si="20"/>
        <v>0.83250000000000002</v>
      </c>
      <c r="N151" s="44">
        <f t="shared" si="20"/>
        <v>9</v>
      </c>
      <c r="O151" s="44">
        <f t="shared" si="20"/>
        <v>45</v>
      </c>
      <c r="P151" s="44">
        <f t="shared" si="20"/>
        <v>92.25</v>
      </c>
      <c r="Q151" s="44">
        <f t="shared" si="20"/>
        <v>0.5</v>
      </c>
      <c r="R151" s="44">
        <f t="shared" si="20"/>
        <v>0.3175</v>
      </c>
      <c r="S151" s="44">
        <f t="shared" si="20"/>
        <v>6.275E-2</v>
      </c>
      <c r="T151" s="44">
        <f t="shared" si="20"/>
        <v>0</v>
      </c>
      <c r="U151" s="44">
        <f t="shared" si="20"/>
        <v>0.7</v>
      </c>
      <c r="V151" s="44">
        <f t="shared" si="20"/>
        <v>0</v>
      </c>
      <c r="W151" s="44">
        <f t="shared" si="20"/>
        <v>2.75E-2</v>
      </c>
      <c r="X151" s="44">
        <f t="shared" si="20"/>
        <v>0</v>
      </c>
      <c r="Y151" s="44">
        <f t="shared" si="20"/>
        <v>0</v>
      </c>
      <c r="Z151" s="44">
        <f t="shared" si="20"/>
        <v>0</v>
      </c>
      <c r="AA151" s="44">
        <f t="shared" si="20"/>
        <v>0.375</v>
      </c>
      <c r="AB151" s="44">
        <f t="shared" si="20"/>
        <v>4.2250000000000003E-2</v>
      </c>
      <c r="AC151" s="44">
        <f t="shared" si="20"/>
        <v>1.7500000000000002E-2</v>
      </c>
      <c r="AD151" s="44">
        <f t="shared" si="20"/>
        <v>0.26500000000000001</v>
      </c>
      <c r="AE151" s="44">
        <f t="shared" si="20"/>
        <v>0</v>
      </c>
      <c r="AF151" s="44">
        <f t="shared" si="20"/>
        <v>4.4499999999999998E-2</v>
      </c>
      <c r="AG151" s="44">
        <f t="shared" si="20"/>
        <v>0</v>
      </c>
      <c r="AH151" s="44">
        <f t="shared" si="20"/>
        <v>8.1750000000000007</v>
      </c>
      <c r="AI151" s="44">
        <f t="shared" si="20"/>
        <v>0.42499999999999999</v>
      </c>
      <c r="AJ151" s="44">
        <f t="shared" si="20"/>
        <v>45.25</v>
      </c>
      <c r="AK151" s="44">
        <f t="shared" si="20"/>
        <v>0</v>
      </c>
      <c r="AL151" s="44">
        <f t="shared" si="20"/>
        <v>0</v>
      </c>
      <c r="AM151" s="44">
        <f t="shared" si="20"/>
        <v>0</v>
      </c>
      <c r="AN151" s="44">
        <f t="shared" si="20"/>
        <v>0</v>
      </c>
      <c r="AO151" s="44">
        <f t="shared" si="20"/>
        <v>0</v>
      </c>
      <c r="AP151" s="44">
        <f t="shared" si="20"/>
        <v>0</v>
      </c>
      <c r="AQ151" s="44">
        <f t="shared" si="20"/>
        <v>0</v>
      </c>
      <c r="AR151" s="44">
        <f t="shared" si="20"/>
        <v>0</v>
      </c>
      <c r="AS151" s="44">
        <f t="shared" si="20"/>
        <v>0</v>
      </c>
      <c r="AT151" s="44">
        <f t="shared" si="20"/>
        <v>0</v>
      </c>
      <c r="AU151" s="44">
        <f t="shared" si="20"/>
        <v>0</v>
      </c>
      <c r="AV151" s="44">
        <f t="shared" si="20"/>
        <v>0</v>
      </c>
      <c r="AW151" s="44">
        <f t="shared" si="20"/>
        <v>0</v>
      </c>
      <c r="AX151" s="44">
        <f t="shared" si="20"/>
        <v>0</v>
      </c>
      <c r="AY151" s="44">
        <f t="shared" si="20"/>
        <v>0</v>
      </c>
      <c r="AZ151" s="44">
        <f t="shared" si="20"/>
        <v>0</v>
      </c>
      <c r="BA151" s="44">
        <f t="shared" si="20"/>
        <v>0</v>
      </c>
      <c r="BB151" s="44">
        <f t="shared" si="20"/>
        <v>0</v>
      </c>
      <c r="BC151" s="44">
        <f t="shared" si="20"/>
        <v>0</v>
      </c>
      <c r="BD151" s="44">
        <f t="shared" si="20"/>
        <v>0</v>
      </c>
      <c r="BE151" s="44">
        <f t="shared" si="20"/>
        <v>1.4999999999999999E-2</v>
      </c>
    </row>
    <row r="152" spans="1:58" ht="15.6">
      <c r="A152" s="116"/>
      <c r="B152" s="116"/>
      <c r="C152" s="116"/>
      <c r="D152" s="116" t="s">
        <v>225</v>
      </c>
      <c r="E152" s="116">
        <v>49.5</v>
      </c>
      <c r="F152" s="116">
        <v>2.27</v>
      </c>
      <c r="G152" s="116">
        <v>0.1</v>
      </c>
      <c r="H152" s="116">
        <v>5.03</v>
      </c>
      <c r="I152" s="116">
        <v>0</v>
      </c>
      <c r="J152" s="116">
        <v>29</v>
      </c>
      <c r="K152" s="116">
        <v>0.45</v>
      </c>
      <c r="L152" s="116">
        <v>1.98</v>
      </c>
      <c r="M152" s="116">
        <v>0.83</v>
      </c>
      <c r="N152" s="116">
        <v>9</v>
      </c>
      <c r="O152" s="116">
        <v>45</v>
      </c>
      <c r="P152" s="116">
        <v>92.5</v>
      </c>
      <c r="Q152" s="116">
        <v>0.5</v>
      </c>
      <c r="R152" s="116">
        <v>0.32</v>
      </c>
      <c r="S152" s="116">
        <v>0.06</v>
      </c>
      <c r="T152" s="116">
        <v>0</v>
      </c>
      <c r="U152" s="116">
        <v>0.7</v>
      </c>
      <c r="V152" s="116">
        <v>0</v>
      </c>
      <c r="W152" s="116">
        <v>0.03</v>
      </c>
      <c r="X152" s="116">
        <v>0</v>
      </c>
      <c r="Y152" s="116">
        <v>0</v>
      </c>
      <c r="Z152" s="116">
        <v>0</v>
      </c>
      <c r="AA152" s="116">
        <v>0.38</v>
      </c>
      <c r="AB152" s="116">
        <v>0.04</v>
      </c>
      <c r="AC152" s="116">
        <v>0.02</v>
      </c>
      <c r="AD152" s="116">
        <v>0.27</v>
      </c>
      <c r="AE152" s="116">
        <v>0</v>
      </c>
      <c r="AF152" s="116">
        <v>0.04</v>
      </c>
      <c r="AG152" s="116">
        <v>0</v>
      </c>
      <c r="AH152" s="116">
        <v>8.18</v>
      </c>
      <c r="AI152" s="116">
        <v>0.43</v>
      </c>
      <c r="AJ152" s="116">
        <v>45.25</v>
      </c>
      <c r="AK152" s="116">
        <v>0</v>
      </c>
      <c r="AL152" s="116">
        <v>0</v>
      </c>
      <c r="AM152" s="116">
        <v>0</v>
      </c>
      <c r="AN152" s="116">
        <v>0</v>
      </c>
      <c r="AO152" s="116">
        <v>0</v>
      </c>
      <c r="AP152" s="116">
        <v>0</v>
      </c>
      <c r="AQ152" s="116">
        <v>0</v>
      </c>
      <c r="AR152" s="116">
        <v>0</v>
      </c>
      <c r="AS152" s="116">
        <v>0</v>
      </c>
      <c r="AT152" s="116">
        <v>0</v>
      </c>
      <c r="AU152" s="116">
        <v>0</v>
      </c>
      <c r="AV152" s="116">
        <v>0</v>
      </c>
      <c r="AW152" s="116">
        <v>0</v>
      </c>
      <c r="AX152" s="116">
        <v>0</v>
      </c>
      <c r="AY152" s="116">
        <v>0</v>
      </c>
      <c r="AZ152" s="116">
        <v>0</v>
      </c>
      <c r="BA152" s="116">
        <v>0</v>
      </c>
      <c r="BB152" s="116">
        <v>0</v>
      </c>
      <c r="BC152" s="116">
        <v>0</v>
      </c>
      <c r="BD152" s="116">
        <v>0</v>
      </c>
      <c r="BE152" s="116">
        <v>0.02</v>
      </c>
    </row>
    <row r="153" spans="1:58" ht="15.6">
      <c r="A153" s="116"/>
      <c r="B153" s="116"/>
      <c r="C153" s="116"/>
      <c r="D153" s="116"/>
      <c r="E153" s="116"/>
      <c r="F153" s="116"/>
      <c r="G153" s="116"/>
      <c r="H153" s="116"/>
      <c r="I153" s="116"/>
      <c r="J153" s="116"/>
      <c r="K153" s="116"/>
      <c r="L153" s="116"/>
      <c r="M153" s="116"/>
      <c r="N153" s="116"/>
      <c r="O153" s="116"/>
      <c r="P153" s="116"/>
      <c r="Q153" s="116"/>
      <c r="R153" s="116"/>
      <c r="S153" s="116"/>
      <c r="T153" s="116"/>
      <c r="U153" s="116"/>
      <c r="V153" s="116"/>
      <c r="W153" s="116"/>
      <c r="X153" s="116"/>
      <c r="Y153" s="116"/>
      <c r="Z153" s="116"/>
      <c r="AA153" s="116"/>
      <c r="AB153" s="116"/>
      <c r="AC153" s="116"/>
      <c r="AD153" s="116"/>
      <c r="AE153" s="116"/>
      <c r="AF153" s="116"/>
      <c r="AG153" s="116"/>
      <c r="AH153" s="116"/>
      <c r="AI153" s="116"/>
      <c r="AJ153" s="116"/>
      <c r="AK153" s="116"/>
      <c r="AL153" s="116"/>
      <c r="AM153" s="116"/>
      <c r="AN153" s="116"/>
      <c r="AO153" s="116"/>
      <c r="AP153" s="116"/>
      <c r="AQ153" s="116"/>
      <c r="AR153" s="116"/>
      <c r="AS153" s="116"/>
      <c r="AT153" s="116"/>
      <c r="AU153" s="116"/>
      <c r="AV153" s="116"/>
      <c r="AW153" s="116"/>
      <c r="AX153" s="116"/>
      <c r="AY153" s="116"/>
      <c r="AZ153" s="116"/>
      <c r="BA153" s="116"/>
      <c r="BB153" s="116"/>
      <c r="BC153" s="116"/>
      <c r="BD153" s="116"/>
      <c r="BE153" s="116"/>
    </row>
    <row r="154" spans="1:58" s="44" customFormat="1" ht="15" customHeight="1">
      <c r="A154" s="98">
        <v>2706386</v>
      </c>
      <c r="B154" s="44" t="s">
        <v>300</v>
      </c>
      <c r="C154" s="50" t="s">
        <v>311</v>
      </c>
      <c r="D154" s="60" t="s">
        <v>266</v>
      </c>
      <c r="E154" s="110">
        <v>6</v>
      </c>
      <c r="F154" s="46">
        <v>10.56</v>
      </c>
      <c r="G154" s="62">
        <v>7.4999999999999997E-2</v>
      </c>
      <c r="H154" s="62">
        <v>3.35</v>
      </c>
      <c r="I154" s="46">
        <v>0</v>
      </c>
      <c r="J154" s="62">
        <v>187</v>
      </c>
      <c r="K154" s="46">
        <v>1.7</v>
      </c>
      <c r="L154" s="46">
        <v>0.5</v>
      </c>
      <c r="M154" s="46">
        <v>1.51</v>
      </c>
      <c r="N154" s="46">
        <v>18</v>
      </c>
      <c r="O154" s="46">
        <v>115</v>
      </c>
      <c r="P154" s="46">
        <v>221</v>
      </c>
      <c r="Q154" s="46">
        <v>13</v>
      </c>
      <c r="R154" s="46">
        <v>2.64</v>
      </c>
      <c r="S154" s="46">
        <v>6.4000000000000001E-2</v>
      </c>
      <c r="T154" s="46">
        <v>0</v>
      </c>
      <c r="U154" s="46">
        <v>0.7</v>
      </c>
      <c r="V154" s="46">
        <v>0</v>
      </c>
      <c r="W154" s="46">
        <v>1.76</v>
      </c>
      <c r="X154" s="46">
        <v>0</v>
      </c>
      <c r="Y154" s="46">
        <v>0</v>
      </c>
      <c r="Z154" s="46">
        <v>71</v>
      </c>
      <c r="AA154" s="46">
        <v>2.2999999999999998</v>
      </c>
      <c r="AB154" s="46">
        <v>5.0999999999999997E-2</v>
      </c>
      <c r="AC154" s="46">
        <v>0.10199999999999999</v>
      </c>
      <c r="AD154" s="46">
        <v>2.8980000000000001</v>
      </c>
      <c r="AE154" s="46">
        <v>0</v>
      </c>
      <c r="AF154" s="46">
        <v>0.26</v>
      </c>
      <c r="AG154" s="46">
        <v>0.84</v>
      </c>
      <c r="AH154" s="46">
        <v>28.8</v>
      </c>
      <c r="AI154" s="46">
        <v>22.9</v>
      </c>
      <c r="AJ154" s="46">
        <v>11</v>
      </c>
      <c r="AK154" s="46">
        <v>11</v>
      </c>
      <c r="AL154" s="46">
        <v>0</v>
      </c>
      <c r="AM154" s="46">
        <v>0</v>
      </c>
      <c r="AN154" s="46">
        <v>0</v>
      </c>
      <c r="AO154" s="46">
        <v>0</v>
      </c>
      <c r="AP154" s="46">
        <v>0</v>
      </c>
      <c r="AQ154" s="46">
        <v>0</v>
      </c>
      <c r="AR154" s="46">
        <v>0</v>
      </c>
      <c r="AS154" s="46">
        <v>0</v>
      </c>
      <c r="AT154" s="46">
        <v>0</v>
      </c>
      <c r="AU154" s="46">
        <v>0</v>
      </c>
      <c r="AV154" s="46">
        <v>0</v>
      </c>
      <c r="AW154" s="46">
        <v>0</v>
      </c>
      <c r="AX154" s="46">
        <v>0</v>
      </c>
      <c r="AY154" s="46">
        <v>0</v>
      </c>
      <c r="AZ154" s="46">
        <v>0</v>
      </c>
      <c r="BA154" s="46">
        <v>0</v>
      </c>
      <c r="BB154" s="46">
        <v>0</v>
      </c>
      <c r="BC154" s="46">
        <v>0</v>
      </c>
      <c r="BD154" s="46">
        <v>43</v>
      </c>
      <c r="BE154" s="46">
        <v>5.2320000000000002</v>
      </c>
      <c r="BF154" s="44" t="str">
        <f>"new food('"&amp;B154&amp;"','"&amp;C154&amp;"','"&amp;D154&amp;"','"&amp;E154&amp;"','"&amp;F154&amp;"','"&amp;G154&amp;"','"&amp;H154&amp;"','"&amp;I154&amp;"','"&amp;J154&amp;"','"&amp;K154&amp;"','"&amp;L154&amp;"','"&amp;M154&amp;"','"&amp;N154&amp;"','"&amp;O154&amp;"','"&amp;P154&amp;"','"&amp;Q154&amp;"','"&amp;R154&amp;"','"&amp;S154&amp;"','"&amp;T154&amp;"','"&amp;U154&amp;"','"&amp;V154&amp;"','"&amp;W154&amp;"','"&amp;X154&amp;"','"&amp;Y154&amp;"','"&amp;Z154&amp;"','"&amp;AA154&amp;"','"&amp;AB154&amp;"','"&amp;AC154&amp;"','"&amp;AD154&amp;"','"&amp;AE154&amp;"','"&amp;AF154&amp;"','"&amp;AG154&amp;"','"&amp;AH154&amp;"','"&amp;AI154&amp;"','"&amp;AJ154&amp;"','"&amp;AK154&amp;"','"&amp;AL154&amp;"','"&amp;AM154&amp;"','"&amp;AN154&amp;"','"&amp;AO154&amp;"','"&amp;AP154&amp;"','"&amp;AQ154&amp;"','"&amp;AR154&amp;"','"&amp;AS154&amp;"','"&amp;AT154&amp;"','"&amp;AU154&amp;"','"&amp;AV154&amp;"','"&amp;AW154&amp;"','"&amp;AX154&amp;"','"&amp;AY154&amp;"','"&amp;AZ154&amp;"','"&amp;BA154&amp;"','"&amp;BB154&amp;"','"&amp;BC154&amp;"','"&amp;BD154&amp;"','"&amp;BE154&amp;"'),"</f>
        <v>new food('Ginger root','Ingred','1 tsp','6','10.56','0.075','3.35','0','187','1.7','0.5','1.51','18','115','221','13','2.64','0.064','0','0.7','0','1.76','0','0','71','2.3','0.051','0.102','2.898','0','0.26','0.84','28.8','22.9','11','11','0','0','0','0','0','0','0','0','0','0','0','0','0','0','0','0','0','0','43','5.232'),</v>
      </c>
    </row>
    <row r="155" spans="1:58" s="35" customFormat="1" ht="15.6">
      <c r="A155" s="44"/>
      <c r="B155" s="44"/>
      <c r="C155" s="44"/>
      <c r="D155" s="44" t="s">
        <v>345</v>
      </c>
      <c r="E155" s="44">
        <f>E154/2</f>
        <v>3</v>
      </c>
      <c r="F155" s="44">
        <f t="shared" ref="F155:BE155" si="21">F154/2</f>
        <v>5.28</v>
      </c>
      <c r="G155" s="44">
        <f t="shared" si="21"/>
        <v>3.7499999999999999E-2</v>
      </c>
      <c r="H155" s="44">
        <f t="shared" si="21"/>
        <v>1.675</v>
      </c>
      <c r="I155" s="44">
        <f t="shared" si="21"/>
        <v>0</v>
      </c>
      <c r="J155" s="44">
        <f t="shared" si="21"/>
        <v>93.5</v>
      </c>
      <c r="K155" s="44">
        <f t="shared" si="21"/>
        <v>0.85</v>
      </c>
      <c r="L155" s="44">
        <f t="shared" si="21"/>
        <v>0.25</v>
      </c>
      <c r="M155" s="44">
        <f t="shared" si="21"/>
        <v>0.755</v>
      </c>
      <c r="N155" s="44">
        <f t="shared" si="21"/>
        <v>9</v>
      </c>
      <c r="O155" s="44">
        <f t="shared" si="21"/>
        <v>57.5</v>
      </c>
      <c r="P155" s="44">
        <f t="shared" si="21"/>
        <v>110.5</v>
      </c>
      <c r="Q155" s="44">
        <f t="shared" si="21"/>
        <v>6.5</v>
      </c>
      <c r="R155" s="44">
        <f t="shared" si="21"/>
        <v>1.32</v>
      </c>
      <c r="S155" s="44">
        <f t="shared" si="21"/>
        <v>3.2000000000000001E-2</v>
      </c>
      <c r="T155" s="44">
        <f t="shared" si="21"/>
        <v>0</v>
      </c>
      <c r="U155" s="44">
        <f t="shared" si="21"/>
        <v>0.35</v>
      </c>
      <c r="V155" s="44">
        <f t="shared" si="21"/>
        <v>0</v>
      </c>
      <c r="W155" s="44">
        <f t="shared" si="21"/>
        <v>0.88</v>
      </c>
      <c r="X155" s="44">
        <f t="shared" si="21"/>
        <v>0</v>
      </c>
      <c r="Y155" s="44">
        <f t="shared" si="21"/>
        <v>0</v>
      </c>
      <c r="Z155" s="44">
        <f t="shared" si="21"/>
        <v>35.5</v>
      </c>
      <c r="AA155" s="44">
        <f t="shared" si="21"/>
        <v>1.1499999999999999</v>
      </c>
      <c r="AB155" s="44">
        <f t="shared" si="21"/>
        <v>2.5499999999999998E-2</v>
      </c>
      <c r="AC155" s="44">
        <f t="shared" si="21"/>
        <v>5.0999999999999997E-2</v>
      </c>
      <c r="AD155" s="44">
        <f t="shared" si="21"/>
        <v>1.4490000000000001</v>
      </c>
      <c r="AE155" s="44">
        <f t="shared" si="21"/>
        <v>0</v>
      </c>
      <c r="AF155" s="44">
        <f t="shared" si="21"/>
        <v>0.13</v>
      </c>
      <c r="AG155" s="44">
        <f t="shared" si="21"/>
        <v>0.42</v>
      </c>
      <c r="AH155" s="44">
        <f t="shared" si="21"/>
        <v>14.4</v>
      </c>
      <c r="AI155" s="44">
        <f t="shared" si="21"/>
        <v>11.45</v>
      </c>
      <c r="AJ155" s="44">
        <f t="shared" si="21"/>
        <v>5.5</v>
      </c>
      <c r="AK155" s="44">
        <f t="shared" si="21"/>
        <v>5.5</v>
      </c>
      <c r="AL155" s="44">
        <f t="shared" si="21"/>
        <v>0</v>
      </c>
      <c r="AM155" s="44">
        <f t="shared" si="21"/>
        <v>0</v>
      </c>
      <c r="AN155" s="44">
        <f t="shared" si="21"/>
        <v>0</v>
      </c>
      <c r="AO155" s="44">
        <f t="shared" si="21"/>
        <v>0</v>
      </c>
      <c r="AP155" s="44">
        <f t="shared" si="21"/>
        <v>0</v>
      </c>
      <c r="AQ155" s="44">
        <f t="shared" si="21"/>
        <v>0</v>
      </c>
      <c r="AR155" s="44">
        <f t="shared" si="21"/>
        <v>0</v>
      </c>
      <c r="AS155" s="44">
        <f t="shared" si="21"/>
        <v>0</v>
      </c>
      <c r="AT155" s="44">
        <f t="shared" si="21"/>
        <v>0</v>
      </c>
      <c r="AU155" s="44">
        <f t="shared" si="21"/>
        <v>0</v>
      </c>
      <c r="AV155" s="44">
        <f t="shared" si="21"/>
        <v>0</v>
      </c>
      <c r="AW155" s="44">
        <f t="shared" si="21"/>
        <v>0</v>
      </c>
      <c r="AX155" s="44">
        <f t="shared" si="21"/>
        <v>0</v>
      </c>
      <c r="AY155" s="44">
        <f t="shared" si="21"/>
        <v>0</v>
      </c>
      <c r="AZ155" s="44">
        <f t="shared" si="21"/>
        <v>0</v>
      </c>
      <c r="BA155" s="44">
        <f t="shared" si="21"/>
        <v>0</v>
      </c>
      <c r="BB155" s="44">
        <f t="shared" si="21"/>
        <v>0</v>
      </c>
      <c r="BC155" s="44">
        <f t="shared" si="21"/>
        <v>0</v>
      </c>
      <c r="BD155" s="44">
        <f t="shared" si="21"/>
        <v>21.5</v>
      </c>
      <c r="BE155" s="44">
        <f t="shared" si="21"/>
        <v>2.6160000000000001</v>
      </c>
    </row>
    <row r="156" spans="1:58" ht="15.6">
      <c r="A156" s="116"/>
      <c r="B156" s="116"/>
      <c r="C156" s="116"/>
      <c r="D156" s="116" t="s">
        <v>345</v>
      </c>
      <c r="E156" s="116">
        <v>3</v>
      </c>
      <c r="F156" s="116">
        <v>5.28</v>
      </c>
      <c r="G156" s="116">
        <v>0.04</v>
      </c>
      <c r="H156" s="116">
        <v>1.68</v>
      </c>
      <c r="I156" s="116">
        <v>0</v>
      </c>
      <c r="J156" s="116">
        <v>93.5</v>
      </c>
      <c r="K156" s="116">
        <v>0.85</v>
      </c>
      <c r="L156" s="116">
        <v>0.25</v>
      </c>
      <c r="M156" s="116">
        <v>0.76</v>
      </c>
      <c r="N156" s="116">
        <v>9</v>
      </c>
      <c r="O156" s="116">
        <v>57.5</v>
      </c>
      <c r="P156" s="116">
        <v>110.5</v>
      </c>
      <c r="Q156" s="116">
        <v>6.5</v>
      </c>
      <c r="R156" s="116">
        <v>1.32</v>
      </c>
      <c r="S156" s="116">
        <v>0.03</v>
      </c>
      <c r="T156" s="116">
        <v>0</v>
      </c>
      <c r="U156" s="116">
        <v>0.35</v>
      </c>
      <c r="V156" s="116">
        <v>0</v>
      </c>
      <c r="W156" s="116">
        <v>0.88</v>
      </c>
      <c r="X156" s="116">
        <v>0</v>
      </c>
      <c r="Y156" s="116">
        <v>0</v>
      </c>
      <c r="Z156" s="116">
        <v>35.5</v>
      </c>
      <c r="AA156" s="116">
        <v>1.1499999999999999</v>
      </c>
      <c r="AB156" s="116">
        <v>0.03</v>
      </c>
      <c r="AC156" s="116">
        <v>0.05</v>
      </c>
      <c r="AD156" s="116">
        <v>1.45</v>
      </c>
      <c r="AE156" s="116">
        <v>0</v>
      </c>
      <c r="AF156" s="116">
        <v>0.13</v>
      </c>
      <c r="AG156" s="116">
        <v>0.42</v>
      </c>
      <c r="AH156" s="116">
        <v>14.4</v>
      </c>
      <c r="AI156" s="116">
        <v>11.45</v>
      </c>
      <c r="AJ156" s="116">
        <v>5.5</v>
      </c>
      <c r="AK156" s="116">
        <v>5.5</v>
      </c>
      <c r="AL156" s="116">
        <v>0</v>
      </c>
      <c r="AM156" s="116">
        <v>0</v>
      </c>
      <c r="AN156" s="116">
        <v>0</v>
      </c>
      <c r="AO156" s="116">
        <v>0</v>
      </c>
      <c r="AP156" s="116">
        <v>0</v>
      </c>
      <c r="AQ156" s="116">
        <v>0</v>
      </c>
      <c r="AR156" s="116">
        <v>0</v>
      </c>
      <c r="AS156" s="116">
        <v>0</v>
      </c>
      <c r="AT156" s="116">
        <v>0</v>
      </c>
      <c r="AU156" s="116">
        <v>0</v>
      </c>
      <c r="AV156" s="116">
        <v>0</v>
      </c>
      <c r="AW156" s="116">
        <v>0</v>
      </c>
      <c r="AX156" s="116">
        <v>0</v>
      </c>
      <c r="AY156" s="116">
        <v>0</v>
      </c>
      <c r="AZ156" s="116">
        <v>0</v>
      </c>
      <c r="BA156" s="116">
        <v>0</v>
      </c>
      <c r="BB156" s="116">
        <v>0</v>
      </c>
      <c r="BC156" s="116">
        <v>0</v>
      </c>
      <c r="BD156" s="116">
        <v>21.5</v>
      </c>
      <c r="BE156" s="116">
        <v>2.62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5:BF14"/>
  <sheetViews>
    <sheetView workbookViewId="0">
      <selection activeCell="F13" sqref="F13"/>
    </sheetView>
  </sheetViews>
  <sheetFormatPr defaultRowHeight="12.6"/>
  <cols>
    <col min="2" max="2" width="17" customWidth="1"/>
  </cols>
  <sheetData>
    <row r="5" spans="1:58" s="44" customFormat="1" ht="15" customHeight="1">
      <c r="A5" s="98">
        <v>170457</v>
      </c>
      <c r="B5" s="44" t="s">
        <v>109</v>
      </c>
      <c r="C5" s="50" t="s">
        <v>88</v>
      </c>
      <c r="D5" s="50" t="s">
        <v>221</v>
      </c>
      <c r="E5" s="98">
        <v>180</v>
      </c>
      <c r="F5" s="44">
        <v>0.88</v>
      </c>
      <c r="G5" s="45">
        <v>0.2</v>
      </c>
      <c r="H5" s="44">
        <v>3.89</v>
      </c>
      <c r="I5" s="45">
        <v>0.5</v>
      </c>
      <c r="J5" s="45">
        <v>18</v>
      </c>
      <c r="K5" s="45">
        <v>2.63</v>
      </c>
      <c r="L5" s="44">
        <v>1.2</v>
      </c>
      <c r="M5" s="45">
        <v>2.7E-2</v>
      </c>
      <c r="N5" s="45">
        <v>11</v>
      </c>
      <c r="O5" s="45">
        <v>24</v>
      </c>
      <c r="P5" s="45">
        <v>237</v>
      </c>
      <c r="Q5" s="45">
        <v>5</v>
      </c>
      <c r="R5" s="45">
        <v>0.17</v>
      </c>
      <c r="S5" s="45">
        <v>5.8000000000000003E-2</v>
      </c>
      <c r="T5" s="45">
        <v>0.114</v>
      </c>
      <c r="U5" s="45">
        <v>0</v>
      </c>
      <c r="V5" s="45">
        <v>0</v>
      </c>
      <c r="W5" s="45">
        <v>0.54</v>
      </c>
      <c r="X5" s="45">
        <v>0</v>
      </c>
      <c r="Y5" s="44">
        <v>0</v>
      </c>
      <c r="Z5" s="45">
        <v>123</v>
      </c>
      <c r="AA5" s="45">
        <v>13.7</v>
      </c>
      <c r="AB5" s="45">
        <v>3.6999999999999998E-2</v>
      </c>
      <c r="AC5" s="45">
        <v>1.9E-2</v>
      </c>
      <c r="AD5" s="44">
        <v>0.59399999999999997</v>
      </c>
      <c r="AE5" s="45">
        <v>8.8999999999999996E-2</v>
      </c>
      <c r="AF5" s="44">
        <v>0.08</v>
      </c>
      <c r="AG5" s="45"/>
      <c r="AH5" s="44">
        <v>6.7</v>
      </c>
      <c r="AI5" s="44">
        <v>7.3</v>
      </c>
      <c r="AJ5" s="44">
        <v>10</v>
      </c>
      <c r="AK5" s="44">
        <v>15</v>
      </c>
      <c r="AL5" s="44">
        <v>0.1</v>
      </c>
      <c r="AM5" s="45">
        <v>6.0000000000000001E-3</v>
      </c>
      <c r="AN5" s="45">
        <v>2.7E-2</v>
      </c>
      <c r="AO5" s="45">
        <v>1.7999999999999999E-2</v>
      </c>
      <c r="AP5" s="45">
        <v>2.5000000000000001E-2</v>
      </c>
      <c r="AQ5" s="45">
        <v>2.7E-2</v>
      </c>
      <c r="AR5" s="45">
        <v>6.0000000000000001E-3</v>
      </c>
      <c r="AS5" s="44">
        <v>8.0000000000000002E-3</v>
      </c>
      <c r="AT5" s="45">
        <v>2.7E-2</v>
      </c>
      <c r="AU5" s="45">
        <v>1.4E-2</v>
      </c>
      <c r="AV5" s="45">
        <v>1.7999999999999999E-2</v>
      </c>
      <c r="AW5" s="44">
        <v>2.1000000000000001E-2</v>
      </c>
      <c r="AX5" s="45">
        <v>2.7E-2</v>
      </c>
      <c r="AY5" s="45">
        <v>0.13500000000000001</v>
      </c>
      <c r="AZ5" s="45">
        <v>4.3099999999999999E-2</v>
      </c>
      <c r="BA5" s="45">
        <v>1.9E-2</v>
      </c>
      <c r="BB5" s="45">
        <v>1.4999999999999999E-2</v>
      </c>
      <c r="BC5" s="45">
        <v>2.5999999999999999E-2</v>
      </c>
      <c r="BD5" s="45">
        <v>0</v>
      </c>
      <c r="BE5" s="44">
        <v>3.1E-2</v>
      </c>
    </row>
    <row r="6" spans="1:58" s="44" customFormat="1" ht="15" customHeight="1">
      <c r="A6" s="98">
        <v>170457</v>
      </c>
      <c r="B6" s="44" t="s">
        <v>109</v>
      </c>
      <c r="C6" s="50" t="s">
        <v>88</v>
      </c>
      <c r="D6" s="50" t="s">
        <v>221</v>
      </c>
      <c r="E6" s="98">
        <v>180</v>
      </c>
      <c r="F6" s="44">
        <v>0.88</v>
      </c>
      <c r="G6" s="45">
        <v>0.2</v>
      </c>
      <c r="H6" s="44">
        <v>3.89</v>
      </c>
      <c r="I6" s="45">
        <v>0.5</v>
      </c>
      <c r="J6" s="45">
        <v>18</v>
      </c>
      <c r="K6" s="45">
        <v>2.63</v>
      </c>
      <c r="L6" s="44">
        <v>1.2</v>
      </c>
      <c r="M6" s="45">
        <v>2.7E-2</v>
      </c>
      <c r="N6" s="45">
        <v>11</v>
      </c>
      <c r="O6" s="45">
        <v>24</v>
      </c>
      <c r="P6" s="45">
        <v>237</v>
      </c>
      <c r="Q6" s="45">
        <v>5</v>
      </c>
      <c r="R6" s="45">
        <v>0.17</v>
      </c>
      <c r="S6" s="45">
        <v>5.8000000000000003E-2</v>
      </c>
      <c r="T6" s="45">
        <v>0.114</v>
      </c>
      <c r="U6" s="45">
        <v>0</v>
      </c>
      <c r="V6" s="45">
        <v>0</v>
      </c>
      <c r="W6" s="45">
        <v>0.54</v>
      </c>
      <c r="X6" s="45">
        <v>0</v>
      </c>
      <c r="Y6" s="44">
        <v>0</v>
      </c>
      <c r="Z6" s="45">
        <v>123</v>
      </c>
      <c r="AA6" s="45">
        <v>13.7</v>
      </c>
      <c r="AB6" s="45">
        <v>3.6999999999999998E-2</v>
      </c>
      <c r="AC6" s="45">
        <v>1.9E-2</v>
      </c>
      <c r="AD6" s="44">
        <v>0.59399999999999997</v>
      </c>
      <c r="AE6" s="45">
        <v>8.8999999999999996E-2</v>
      </c>
      <c r="AF6" s="44">
        <v>0.08</v>
      </c>
      <c r="AG6" s="45"/>
      <c r="AH6" s="44">
        <v>6.7</v>
      </c>
      <c r="AI6" s="44">
        <v>7.3</v>
      </c>
      <c r="AJ6" s="44">
        <v>10</v>
      </c>
      <c r="AK6" s="44">
        <v>15</v>
      </c>
      <c r="AL6" s="44">
        <v>0.1</v>
      </c>
      <c r="AM6" s="45">
        <v>6.0000000000000001E-3</v>
      </c>
      <c r="AN6" s="45">
        <v>2.7E-2</v>
      </c>
      <c r="AO6" s="45">
        <v>1.7999999999999999E-2</v>
      </c>
      <c r="AP6" s="45">
        <v>2.5000000000000001E-2</v>
      </c>
      <c r="AQ6" s="45">
        <v>2.7E-2</v>
      </c>
      <c r="AR6" s="45">
        <v>6.0000000000000001E-3</v>
      </c>
      <c r="AS6" s="44">
        <v>8.0000000000000002E-3</v>
      </c>
      <c r="AT6" s="45">
        <v>2.7E-2</v>
      </c>
      <c r="AU6" s="45">
        <v>1.4E-2</v>
      </c>
      <c r="AV6" s="45">
        <v>1.7999999999999999E-2</v>
      </c>
      <c r="AW6" s="44">
        <v>2.1000000000000001E-2</v>
      </c>
      <c r="AX6" s="45">
        <v>2.7E-2</v>
      </c>
      <c r="AY6" s="45">
        <v>0.13500000000000001</v>
      </c>
      <c r="AZ6" s="45">
        <v>4.3099999999999999E-2</v>
      </c>
      <c r="BA6" s="45">
        <v>1.9E-2</v>
      </c>
      <c r="BB6" s="45">
        <v>1.4999999999999999E-2</v>
      </c>
      <c r="BC6" s="45">
        <v>2.5999999999999999E-2</v>
      </c>
      <c r="BD6" s="45">
        <v>0</v>
      </c>
      <c r="BE6" s="44">
        <v>3.1E-2</v>
      </c>
    </row>
    <row r="7" spans="1:58" ht="15.6">
      <c r="A7">
        <v>168576</v>
      </c>
      <c r="B7" t="s">
        <v>325</v>
      </c>
      <c r="C7" s="50" t="s">
        <v>311</v>
      </c>
      <c r="D7" s="58" t="s">
        <v>221</v>
      </c>
      <c r="E7" s="98">
        <v>90</v>
      </c>
      <c r="F7" s="44">
        <v>0.91</v>
      </c>
      <c r="G7" s="44">
        <v>0.37</v>
      </c>
      <c r="H7" s="117">
        <v>6.5</v>
      </c>
      <c r="I7" s="44">
        <v>0</v>
      </c>
      <c r="J7" s="44">
        <v>29</v>
      </c>
      <c r="K7" s="44">
        <v>4.12</v>
      </c>
      <c r="L7" s="44">
        <v>2.8</v>
      </c>
      <c r="M7" s="44">
        <v>0.25</v>
      </c>
      <c r="N7" s="44">
        <v>15</v>
      </c>
      <c r="O7" s="44">
        <v>26</v>
      </c>
      <c r="P7" s="44">
        <v>248</v>
      </c>
      <c r="Q7" s="44">
        <v>3</v>
      </c>
      <c r="R7" s="44">
        <v>0.14000000000000001</v>
      </c>
      <c r="S7" s="44">
        <v>0.05</v>
      </c>
      <c r="T7" s="44">
        <v>0</v>
      </c>
      <c r="U7" s="44">
        <v>0.4</v>
      </c>
      <c r="V7" s="44">
        <v>0</v>
      </c>
      <c r="W7" s="44">
        <v>3.58</v>
      </c>
      <c r="X7" s="44">
        <v>0</v>
      </c>
      <c r="Y7" s="44">
        <v>105</v>
      </c>
      <c r="Z7" s="44">
        <v>861</v>
      </c>
      <c r="AA7" s="44">
        <v>118.6</v>
      </c>
      <c r="AB7" s="44">
        <v>0.04</v>
      </c>
      <c r="AC7" s="44">
        <v>7.0000000000000007E-2</v>
      </c>
      <c r="AD7" s="44">
        <v>1.28</v>
      </c>
      <c r="AE7" s="44">
        <v>0</v>
      </c>
      <c r="AF7" s="44">
        <v>0.41899999999999998</v>
      </c>
      <c r="AG7" s="44">
        <v>0</v>
      </c>
      <c r="AH7" s="44">
        <v>7.5</v>
      </c>
      <c r="AI7" s="44">
        <v>18.5</v>
      </c>
      <c r="AJ7" s="44">
        <v>27</v>
      </c>
      <c r="AK7" s="44">
        <v>27</v>
      </c>
      <c r="AL7" s="44">
        <v>0</v>
      </c>
      <c r="AM7" s="44">
        <v>0</v>
      </c>
      <c r="AN7" s="44">
        <v>0</v>
      </c>
      <c r="AO7" s="44">
        <v>0</v>
      </c>
      <c r="AP7" s="44">
        <v>0</v>
      </c>
      <c r="AQ7" s="44">
        <v>0</v>
      </c>
      <c r="AR7" s="44">
        <v>0</v>
      </c>
      <c r="AS7" s="44">
        <v>0</v>
      </c>
      <c r="AT7" s="44">
        <v>0</v>
      </c>
      <c r="AU7" s="44">
        <v>0</v>
      </c>
      <c r="AV7" s="44">
        <v>0</v>
      </c>
      <c r="AW7" s="44">
        <v>0</v>
      </c>
      <c r="AX7" s="44">
        <v>0</v>
      </c>
      <c r="AY7" s="44">
        <v>0</v>
      </c>
      <c r="AZ7" s="44">
        <v>0</v>
      </c>
      <c r="BA7" s="44">
        <v>0</v>
      </c>
      <c r="BB7" s="44">
        <v>0</v>
      </c>
      <c r="BC7" s="44">
        <v>0</v>
      </c>
      <c r="BD7" s="44">
        <v>0</v>
      </c>
      <c r="BE7" s="44">
        <v>0.03</v>
      </c>
      <c r="BF7" s="44"/>
    </row>
    <row r="8" spans="1:58" s="44" customFormat="1" ht="15" customHeight="1">
      <c r="A8" s="98">
        <v>790646</v>
      </c>
      <c r="B8" s="44" t="s">
        <v>305</v>
      </c>
      <c r="C8" s="50" t="s">
        <v>88</v>
      </c>
      <c r="D8" s="60" t="s">
        <v>232</v>
      </c>
      <c r="E8" s="110">
        <v>140</v>
      </c>
      <c r="F8" s="62">
        <v>0.83</v>
      </c>
      <c r="G8" s="46">
        <v>0.05</v>
      </c>
      <c r="H8" s="46">
        <v>8.61</v>
      </c>
      <c r="I8" s="62">
        <v>0</v>
      </c>
      <c r="J8" s="46">
        <v>38</v>
      </c>
      <c r="K8" s="46">
        <v>5.82</v>
      </c>
      <c r="L8" s="46">
        <v>1.9</v>
      </c>
      <c r="M8" s="46">
        <v>0.28000000000000003</v>
      </c>
      <c r="N8" s="46">
        <v>9</v>
      </c>
      <c r="O8" s="46">
        <v>34</v>
      </c>
      <c r="P8" s="46">
        <v>182</v>
      </c>
      <c r="Q8" s="46">
        <v>1</v>
      </c>
      <c r="R8" s="46">
        <v>0.2</v>
      </c>
      <c r="S8" s="46">
        <v>3.5000000000000003E-2</v>
      </c>
      <c r="T8" s="46">
        <v>0</v>
      </c>
      <c r="U8" s="46">
        <v>0</v>
      </c>
      <c r="V8" s="46">
        <v>0</v>
      </c>
      <c r="W8" s="46">
        <v>0.02</v>
      </c>
      <c r="X8" s="46">
        <v>0</v>
      </c>
      <c r="Y8" s="46">
        <v>0</v>
      </c>
      <c r="Z8" s="46">
        <v>4</v>
      </c>
      <c r="AA8" s="46">
        <v>8.1999999999999993</v>
      </c>
      <c r="AB8" s="46">
        <v>4.5999999999999999E-2</v>
      </c>
      <c r="AC8" s="46">
        <v>2.7E-2</v>
      </c>
      <c r="AD8" s="46">
        <v>0.11600000000000001</v>
      </c>
      <c r="AE8" s="46">
        <v>0</v>
      </c>
      <c r="AF8" s="46">
        <v>0.12</v>
      </c>
      <c r="AG8" s="46">
        <v>0</v>
      </c>
      <c r="AH8" s="46">
        <v>6.1</v>
      </c>
      <c r="AI8" s="46">
        <v>0.4</v>
      </c>
      <c r="AJ8" s="46">
        <v>19</v>
      </c>
      <c r="AK8" s="46">
        <v>19</v>
      </c>
      <c r="AL8" s="46">
        <v>0</v>
      </c>
      <c r="AM8" s="46">
        <v>0</v>
      </c>
      <c r="AN8" s="46">
        <v>0</v>
      </c>
      <c r="AO8" s="46">
        <v>0</v>
      </c>
      <c r="AP8" s="46">
        <v>0</v>
      </c>
      <c r="AQ8" s="46">
        <v>0</v>
      </c>
      <c r="AR8" s="46">
        <v>0</v>
      </c>
      <c r="AS8" s="46">
        <v>0</v>
      </c>
      <c r="AT8" s="46">
        <v>0</v>
      </c>
      <c r="AU8" s="46">
        <v>0</v>
      </c>
      <c r="AV8" s="46">
        <v>0</v>
      </c>
      <c r="AW8" s="46">
        <v>0</v>
      </c>
      <c r="AX8" s="46">
        <v>0</v>
      </c>
      <c r="AY8" s="46">
        <v>0</v>
      </c>
      <c r="AZ8" s="46">
        <v>0</v>
      </c>
      <c r="BA8" s="46">
        <v>0</v>
      </c>
      <c r="BB8" s="46">
        <v>0</v>
      </c>
      <c r="BC8" s="46">
        <v>0</v>
      </c>
      <c r="BD8" s="46">
        <v>0</v>
      </c>
      <c r="BE8" s="46">
        <v>1.2999999999999999E-2</v>
      </c>
    </row>
    <row r="13" spans="1:58">
      <c r="E13" s="35">
        <f>SUM(E5:E12)/16</f>
        <v>36.875</v>
      </c>
      <c r="F13" s="35">
        <f>SUM(F5:F12)/16</f>
        <v>0.21875</v>
      </c>
      <c r="G13" s="35">
        <f t="shared" ref="G13:BE13" si="0">SUM(G5:G12)/16</f>
        <v>5.1250000000000004E-2</v>
      </c>
      <c r="H13" s="35">
        <f t="shared" si="0"/>
        <v>1.430625</v>
      </c>
      <c r="I13" s="35">
        <f t="shared" si="0"/>
        <v>6.25E-2</v>
      </c>
      <c r="J13" s="35">
        <f t="shared" si="0"/>
        <v>6.4375</v>
      </c>
      <c r="K13" s="35">
        <f t="shared" si="0"/>
        <v>0.95</v>
      </c>
      <c r="L13" s="35">
        <f t="shared" si="0"/>
        <v>0.44374999999999998</v>
      </c>
      <c r="M13" s="35">
        <f t="shared" si="0"/>
        <v>3.6500000000000005E-2</v>
      </c>
      <c r="N13" s="35">
        <f t="shared" si="0"/>
        <v>2.875</v>
      </c>
      <c r="O13" s="35">
        <f t="shared" si="0"/>
        <v>6.75</v>
      </c>
      <c r="P13" s="35">
        <f t="shared" si="0"/>
        <v>56.5</v>
      </c>
      <c r="Q13" s="35">
        <f t="shared" si="0"/>
        <v>0.875</v>
      </c>
      <c r="R13" s="35">
        <f t="shared" si="0"/>
        <v>4.2500000000000003E-2</v>
      </c>
      <c r="S13" s="35">
        <f t="shared" si="0"/>
        <v>1.2562500000000001E-2</v>
      </c>
      <c r="T13" s="35">
        <f t="shared" si="0"/>
        <v>1.4250000000000001E-2</v>
      </c>
      <c r="U13" s="35">
        <f t="shared" si="0"/>
        <v>2.5000000000000001E-2</v>
      </c>
      <c r="V13" s="35">
        <f t="shared" si="0"/>
        <v>0</v>
      </c>
      <c r="W13" s="35">
        <f t="shared" si="0"/>
        <v>0.29249999999999998</v>
      </c>
      <c r="X13" s="35">
        <f t="shared" si="0"/>
        <v>0</v>
      </c>
      <c r="Y13" s="35">
        <f t="shared" si="0"/>
        <v>6.5625</v>
      </c>
      <c r="Z13" s="35">
        <f t="shared" si="0"/>
        <v>69.4375</v>
      </c>
      <c r="AA13" s="35">
        <f t="shared" si="0"/>
        <v>9.6374999999999993</v>
      </c>
      <c r="AB13" s="35">
        <f t="shared" si="0"/>
        <v>9.9999999999999985E-3</v>
      </c>
      <c r="AC13" s="35">
        <f t="shared" si="0"/>
        <v>8.4375000000000006E-3</v>
      </c>
      <c r="AD13" s="35">
        <f t="shared" si="0"/>
        <v>0.1615</v>
      </c>
      <c r="AE13" s="35">
        <f t="shared" si="0"/>
        <v>1.1124999999999999E-2</v>
      </c>
      <c r="AF13" s="35">
        <f t="shared" si="0"/>
        <v>4.3687499999999997E-2</v>
      </c>
      <c r="AG13" s="35">
        <f t="shared" si="0"/>
        <v>0</v>
      </c>
      <c r="AH13" s="35">
        <f t="shared" si="0"/>
        <v>1.6875</v>
      </c>
      <c r="AI13" s="35">
        <f t="shared" si="0"/>
        <v>2.09375</v>
      </c>
      <c r="AJ13" s="35">
        <f t="shared" si="0"/>
        <v>4.125</v>
      </c>
      <c r="AK13" s="35">
        <f t="shared" si="0"/>
        <v>4.75</v>
      </c>
      <c r="AL13" s="35">
        <f t="shared" si="0"/>
        <v>1.2500000000000001E-2</v>
      </c>
      <c r="AM13" s="35">
        <f t="shared" si="0"/>
        <v>7.5000000000000002E-4</v>
      </c>
      <c r="AN13" s="35">
        <f t="shared" si="0"/>
        <v>3.375E-3</v>
      </c>
      <c r="AO13" s="35">
        <f t="shared" si="0"/>
        <v>2.2499999999999998E-3</v>
      </c>
      <c r="AP13" s="35">
        <f t="shared" si="0"/>
        <v>3.1250000000000002E-3</v>
      </c>
      <c r="AQ13" s="35">
        <f t="shared" si="0"/>
        <v>3.375E-3</v>
      </c>
      <c r="AR13" s="35">
        <f t="shared" si="0"/>
        <v>7.5000000000000002E-4</v>
      </c>
      <c r="AS13" s="35">
        <f t="shared" si="0"/>
        <v>1E-3</v>
      </c>
      <c r="AT13" s="35">
        <f t="shared" si="0"/>
        <v>3.375E-3</v>
      </c>
      <c r="AU13" s="35">
        <f t="shared" si="0"/>
        <v>1.75E-3</v>
      </c>
      <c r="AV13" s="35">
        <f t="shared" si="0"/>
        <v>2.2499999999999998E-3</v>
      </c>
      <c r="AW13" s="35">
        <f t="shared" si="0"/>
        <v>2.6250000000000002E-3</v>
      </c>
      <c r="AX13" s="35">
        <f t="shared" si="0"/>
        <v>3.375E-3</v>
      </c>
      <c r="AY13" s="35">
        <f t="shared" si="0"/>
        <v>1.6875000000000001E-2</v>
      </c>
      <c r="AZ13" s="35">
        <f t="shared" si="0"/>
        <v>5.3874999999999999E-3</v>
      </c>
      <c r="BA13" s="35">
        <f t="shared" si="0"/>
        <v>2.3749999999999999E-3</v>
      </c>
      <c r="BB13" s="35">
        <f t="shared" si="0"/>
        <v>1.8749999999999999E-3</v>
      </c>
      <c r="BC13" s="35">
        <f t="shared" si="0"/>
        <v>3.2499999999999999E-3</v>
      </c>
      <c r="BD13" s="35">
        <f t="shared" si="0"/>
        <v>0</v>
      </c>
      <c r="BE13" s="35">
        <f t="shared" si="0"/>
        <v>6.5624999999999998E-3</v>
      </c>
    </row>
    <row r="14" spans="1:58">
      <c r="F14">
        <v>0.22</v>
      </c>
      <c r="G14">
        <v>0.05</v>
      </c>
      <c r="H14">
        <v>1.43</v>
      </c>
      <c r="I14">
        <v>0.06</v>
      </c>
      <c r="J14">
        <v>6.44</v>
      </c>
      <c r="K14">
        <v>0.95</v>
      </c>
      <c r="L14">
        <v>0.44</v>
      </c>
      <c r="M14">
        <v>0.04</v>
      </c>
      <c r="N14">
        <v>2.88</v>
      </c>
      <c r="O14">
        <v>6.75</v>
      </c>
      <c r="P14">
        <v>56.5</v>
      </c>
      <c r="Q14">
        <v>0.88</v>
      </c>
      <c r="R14">
        <v>0.04</v>
      </c>
      <c r="S14">
        <v>0.01</v>
      </c>
      <c r="T14">
        <v>0.01</v>
      </c>
      <c r="U14">
        <v>0.03</v>
      </c>
      <c r="V14">
        <v>0</v>
      </c>
      <c r="W14">
        <v>0.28999999999999998</v>
      </c>
      <c r="X14">
        <v>0</v>
      </c>
      <c r="Y14">
        <v>6.56</v>
      </c>
      <c r="Z14">
        <v>69.44</v>
      </c>
      <c r="AA14">
        <v>9.64</v>
      </c>
      <c r="AB14">
        <v>0.01</v>
      </c>
      <c r="AC14">
        <v>0.01</v>
      </c>
      <c r="AD14">
        <v>0.16</v>
      </c>
      <c r="AE14">
        <v>0.01</v>
      </c>
      <c r="AF14">
        <v>0.04</v>
      </c>
      <c r="AG14">
        <v>0</v>
      </c>
      <c r="AH14">
        <v>1.69</v>
      </c>
      <c r="AI14">
        <v>2.09</v>
      </c>
      <c r="AJ14">
        <v>4.13</v>
      </c>
      <c r="AK14">
        <v>4.75</v>
      </c>
      <c r="AL14">
        <v>0.01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0.02</v>
      </c>
      <c r="AZ14">
        <v>0.01</v>
      </c>
      <c r="BA14">
        <v>0</v>
      </c>
      <c r="BB14">
        <v>0</v>
      </c>
      <c r="BC14">
        <v>0</v>
      </c>
      <c r="BD14">
        <v>0</v>
      </c>
      <c r="BE1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Meal Items</vt:lpstr>
      <vt:lpstr>Ingredients</vt:lpstr>
      <vt:lpstr>Salads</vt:lpstr>
      <vt:lpstr>Chicken</vt:lpstr>
      <vt:lpstr>Baked</vt:lpstr>
      <vt:lpstr>Beef</vt:lpstr>
      <vt:lpstr>Salsa</vt:lpstr>
      <vt:lpstr>Query2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Lori</dc:creator>
  <cp:lastModifiedBy>Sean Johnson</cp:lastModifiedBy>
  <dcterms:created xsi:type="dcterms:W3CDTF">2025-02-25T17:07:53Z</dcterms:created>
  <dcterms:modified xsi:type="dcterms:W3CDTF">2025-11-17T20:44:49Z</dcterms:modified>
</cp:coreProperties>
</file>